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rastogi/Documents/projects/"/>
    </mc:Choice>
  </mc:AlternateContent>
  <xr:revisionPtr revIDLastSave="0" documentId="13_ncr:1_{31B2A16F-BD2A-3342-9B89-A46C2C4E65D4}" xr6:coauthVersionLast="47" xr6:coauthVersionMax="47" xr10:uidLastSave="{00000000-0000-0000-0000-000000000000}"/>
  <bookViews>
    <workbookView xWindow="960" yWindow="660" windowWidth="26520" windowHeight="17180" activeTab="3" xr2:uid="{445D495B-55AA-DF4B-81F8-E8D6CB784EE9}"/>
  </bookViews>
  <sheets>
    <sheet name="IS26" sheetId="2" r:id="rId1"/>
    <sheet name="BS 2026" sheetId="1" r:id="rId2"/>
    <sheet name="CF26" sheetId="3" r:id="rId3"/>
    <sheet name="Forecasting" sheetId="4" r:id="rId4"/>
    <sheet name="Assumptions" sheetId="5" r:id="rId5"/>
  </sheets>
  <definedNames>
    <definedName name="Scenario">Assumptions!$B$8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I23" i="4"/>
  <c r="J23" i="4"/>
  <c r="K23" i="4"/>
  <c r="L23" i="4"/>
  <c r="H23" i="4"/>
  <c r="D23" i="5"/>
  <c r="E23" i="5" s="1"/>
  <c r="F23" i="5" s="1"/>
  <c r="C23" i="5"/>
  <c r="B23" i="5"/>
  <c r="H18" i="4"/>
  <c r="H10" i="4"/>
  <c r="C21" i="5"/>
  <c r="D21" i="5"/>
  <c r="E21" i="5"/>
  <c r="F21" i="5"/>
  <c r="B21" i="5"/>
  <c r="C19" i="5"/>
  <c r="D19" i="5"/>
  <c r="E19" i="5"/>
  <c r="F19" i="5"/>
  <c r="B19" i="5"/>
  <c r="C17" i="5"/>
  <c r="D17" i="5"/>
  <c r="E17" i="5"/>
  <c r="F17" i="5"/>
  <c r="B17" i="5"/>
  <c r="C15" i="5"/>
  <c r="D15" i="5"/>
  <c r="E15" i="5"/>
  <c r="F15" i="5"/>
  <c r="B15" i="5"/>
  <c r="H125" i="4"/>
  <c r="I125" i="4"/>
  <c r="J125" i="4" s="1"/>
  <c r="K125" i="4" s="1"/>
  <c r="L125" i="4" s="1"/>
  <c r="H124" i="4"/>
  <c r="I124" i="4"/>
  <c r="J124" i="4"/>
  <c r="K124" i="4"/>
  <c r="L124" i="4" s="1"/>
  <c r="I123" i="4"/>
  <c r="J123" i="4" s="1"/>
  <c r="K123" i="4" s="1"/>
  <c r="L123" i="4" s="1"/>
  <c r="H123" i="4"/>
  <c r="I122" i="4"/>
  <c r="J122" i="4"/>
  <c r="K122" i="4"/>
  <c r="L122" i="4"/>
  <c r="H122" i="4"/>
  <c r="H121" i="4"/>
  <c r="D9" i="5"/>
  <c r="E9" i="5"/>
  <c r="F9" i="5"/>
  <c r="C9" i="5"/>
  <c r="B9" i="5"/>
  <c r="C14" i="5"/>
  <c r="D14" i="5"/>
  <c r="E14" i="5"/>
  <c r="F14" i="5"/>
  <c r="B14" i="5"/>
  <c r="C13" i="5"/>
  <c r="D13" i="5"/>
  <c r="E13" i="5"/>
  <c r="F13" i="5"/>
  <c r="B13" i="5"/>
  <c r="I121" i="4"/>
  <c r="J121" i="4"/>
  <c r="K121" i="4" s="1"/>
  <c r="L121" i="4" s="1"/>
  <c r="C45" i="5"/>
  <c r="D45" i="5"/>
  <c r="E45" i="5"/>
  <c r="F45" i="5"/>
  <c r="B45" i="5"/>
  <c r="B44" i="5"/>
  <c r="C44" i="5" s="1"/>
  <c r="D44" i="5" s="1"/>
  <c r="E44" i="5" s="1"/>
  <c r="F44" i="5" s="1"/>
  <c r="B43" i="5"/>
  <c r="C43" i="5" s="1"/>
  <c r="D43" i="5" s="1"/>
  <c r="E43" i="5" s="1"/>
  <c r="F43" i="5" s="1"/>
  <c r="B42" i="5"/>
  <c r="C42" i="5" s="1"/>
  <c r="D42" i="5" s="1"/>
  <c r="E42" i="5" s="1"/>
  <c r="F42" i="5" s="1"/>
  <c r="B41" i="5"/>
  <c r="C41" i="5" s="1"/>
  <c r="D41" i="5" s="1"/>
  <c r="E41" i="5" s="1"/>
  <c r="F41" i="5" s="1"/>
  <c r="B40" i="5"/>
  <c r="C40" i="5" s="1"/>
  <c r="D40" i="5" s="1"/>
  <c r="E40" i="5" s="1"/>
  <c r="F40" i="5" s="1"/>
  <c r="B38" i="5"/>
  <c r="C38" i="5" s="1"/>
  <c r="D38" i="5" s="1"/>
  <c r="E38" i="5" s="1"/>
  <c r="F38" i="5" s="1"/>
  <c r="B39" i="5"/>
  <c r="C39" i="5" s="1"/>
  <c r="D39" i="5" s="1"/>
  <c r="E39" i="5" s="1"/>
  <c r="F39" i="5" s="1"/>
  <c r="B33" i="5"/>
  <c r="C33" i="5" s="1"/>
  <c r="D33" i="5" s="1"/>
  <c r="E33" i="5" s="1"/>
  <c r="F33" i="5" s="1"/>
  <c r="B4" i="5"/>
  <c r="B3" i="5"/>
  <c r="E96" i="4" l="1"/>
  <c r="H83" i="4"/>
  <c r="G22" i="4"/>
  <c r="G23" i="4"/>
  <c r="F22" i="4"/>
  <c r="F23" i="4"/>
  <c r="E22" i="4"/>
  <c r="E23" i="4"/>
  <c r="D22" i="4"/>
  <c r="I83" i="4" s="1"/>
  <c r="D23" i="4"/>
  <c r="C22" i="4"/>
  <c r="C23" i="4"/>
  <c r="G48" i="4"/>
  <c r="H48" i="4" s="1"/>
  <c r="I48" i="4" s="1"/>
  <c r="J48" i="4" s="1"/>
  <c r="K48" i="4" s="1"/>
  <c r="L48" i="4" s="1"/>
  <c r="L96" i="4" s="1"/>
  <c r="F48" i="4"/>
  <c r="E48" i="4"/>
  <c r="D48" i="4"/>
  <c r="C48" i="4"/>
  <c r="G47" i="4"/>
  <c r="F47" i="4"/>
  <c r="E47" i="4"/>
  <c r="D47" i="4"/>
  <c r="C47" i="4"/>
  <c r="G46" i="4"/>
  <c r="H46" i="4" s="1"/>
  <c r="I46" i="4" s="1"/>
  <c r="J46" i="4" s="1"/>
  <c r="K46" i="4" s="1"/>
  <c r="L46" i="4" s="1"/>
  <c r="F46" i="4"/>
  <c r="E46" i="4"/>
  <c r="D46" i="4"/>
  <c r="C46" i="4"/>
  <c r="G45" i="4"/>
  <c r="H45" i="4" s="1"/>
  <c r="I45" i="4" s="1"/>
  <c r="J45" i="4" s="1"/>
  <c r="K45" i="4" s="1"/>
  <c r="L45" i="4" s="1"/>
  <c r="F45" i="4"/>
  <c r="E45" i="4"/>
  <c r="D45" i="4"/>
  <c r="C45" i="4"/>
  <c r="G44" i="4"/>
  <c r="F44" i="4"/>
  <c r="E44" i="4"/>
  <c r="D44" i="4"/>
  <c r="C44" i="4"/>
  <c r="D98" i="4"/>
  <c r="E98" i="4"/>
  <c r="F98" i="4"/>
  <c r="G98" i="4"/>
  <c r="D99" i="4"/>
  <c r="E99" i="4"/>
  <c r="F99" i="4"/>
  <c r="G99" i="4"/>
  <c r="G97" i="4"/>
  <c r="F97" i="4"/>
  <c r="E97" i="4"/>
  <c r="D97" i="4"/>
  <c r="C99" i="4"/>
  <c r="C98" i="4"/>
  <c r="C97" i="4"/>
  <c r="F81" i="4"/>
  <c r="E81" i="4"/>
  <c r="D81" i="4"/>
  <c r="C81" i="4"/>
  <c r="G81" i="4"/>
  <c r="C80" i="4"/>
  <c r="D80" i="4"/>
  <c r="E80" i="4"/>
  <c r="F80" i="4"/>
  <c r="G90" i="4"/>
  <c r="F90" i="4"/>
  <c r="E90" i="4"/>
  <c r="D90" i="4"/>
  <c r="C90" i="4"/>
  <c r="C89" i="4"/>
  <c r="D89" i="4"/>
  <c r="E89" i="4"/>
  <c r="F89" i="4"/>
  <c r="G89" i="4"/>
  <c r="C87" i="4"/>
  <c r="D87" i="4"/>
  <c r="E87" i="4"/>
  <c r="F87" i="4"/>
  <c r="G87" i="4"/>
  <c r="C86" i="4"/>
  <c r="D86" i="4"/>
  <c r="E86" i="4"/>
  <c r="F86" i="4"/>
  <c r="G86" i="4"/>
  <c r="G80" i="4"/>
  <c r="G112" i="4"/>
  <c r="H112" i="4" s="1"/>
  <c r="I112" i="4" s="1"/>
  <c r="J112" i="4" s="1"/>
  <c r="K112" i="4" s="1"/>
  <c r="L112" i="4" s="1"/>
  <c r="F112" i="4"/>
  <c r="H97" i="4" l="1"/>
  <c r="I97" i="4" s="1"/>
  <c r="J97" i="4" s="1"/>
  <c r="H98" i="4"/>
  <c r="I98" i="4" s="1"/>
  <c r="H99" i="4"/>
  <c r="I99" i="4" s="1"/>
  <c r="J99" i="4" s="1"/>
  <c r="G26" i="4"/>
  <c r="F26" i="4"/>
  <c r="E26" i="4"/>
  <c r="D26" i="4"/>
  <c r="C26" i="4"/>
  <c r="K97" i="4" l="1"/>
  <c r="L97" i="4" s="1"/>
  <c r="J83" i="4"/>
  <c r="J98" i="4"/>
  <c r="K98" i="4" s="1"/>
  <c r="L98" i="4" s="1"/>
  <c r="K99" i="4"/>
  <c r="L99" i="4" s="1"/>
  <c r="C116" i="4"/>
  <c r="G114" i="4"/>
  <c r="F114" i="4"/>
  <c r="E114" i="4"/>
  <c r="D114" i="4"/>
  <c r="C114" i="4"/>
  <c r="G107" i="4"/>
  <c r="F107" i="4"/>
  <c r="E107" i="4"/>
  <c r="D107" i="4"/>
  <c r="C107" i="4"/>
  <c r="G111" i="4"/>
  <c r="F111" i="4"/>
  <c r="E111" i="4"/>
  <c r="E112" i="4"/>
  <c r="D112" i="4"/>
  <c r="C112" i="4"/>
  <c r="C110" i="4"/>
  <c r="D110" i="4"/>
  <c r="E110" i="4"/>
  <c r="F110" i="4"/>
  <c r="G110" i="4"/>
  <c r="H110" i="4" s="1"/>
  <c r="I110" i="4" s="1"/>
  <c r="J110" i="4" s="1"/>
  <c r="K110" i="4" s="1"/>
  <c r="L110" i="4" s="1"/>
  <c r="G109" i="4"/>
  <c r="F109" i="4"/>
  <c r="E109" i="4"/>
  <c r="D109" i="4"/>
  <c r="C109" i="4"/>
  <c r="G108" i="4"/>
  <c r="F108" i="4"/>
  <c r="E108" i="4"/>
  <c r="D108" i="4"/>
  <c r="C108" i="4"/>
  <c r="G106" i="4"/>
  <c r="F106" i="4"/>
  <c r="E106" i="4"/>
  <c r="D106" i="4"/>
  <c r="C106" i="4"/>
  <c r="D111" i="4"/>
  <c r="C111" i="4"/>
  <c r="G104" i="4"/>
  <c r="F104" i="4"/>
  <c r="E104" i="4"/>
  <c r="D104" i="4"/>
  <c r="C104" i="4"/>
  <c r="G100" i="4"/>
  <c r="F100" i="4"/>
  <c r="E100" i="4"/>
  <c r="D100" i="4"/>
  <c r="C100" i="4"/>
  <c r="C95" i="4"/>
  <c r="D95" i="4"/>
  <c r="E95" i="4"/>
  <c r="F95" i="4"/>
  <c r="G95" i="4"/>
  <c r="C96" i="4"/>
  <c r="D96" i="4"/>
  <c r="F96" i="4"/>
  <c r="G96" i="4"/>
  <c r="G94" i="4"/>
  <c r="F94" i="4"/>
  <c r="E94" i="4"/>
  <c r="D94" i="4"/>
  <c r="C94" i="4"/>
  <c r="G88" i="4"/>
  <c r="F88" i="4"/>
  <c r="E88" i="4"/>
  <c r="D88" i="4"/>
  <c r="C88" i="4"/>
  <c r="G83" i="4"/>
  <c r="F83" i="4"/>
  <c r="E83" i="4"/>
  <c r="D83" i="4"/>
  <c r="C83" i="4"/>
  <c r="G85" i="4"/>
  <c r="F85" i="4"/>
  <c r="E85" i="4"/>
  <c r="D85" i="4"/>
  <c r="C85" i="4"/>
  <c r="G82" i="4"/>
  <c r="F82" i="4"/>
  <c r="E82" i="4"/>
  <c r="D82" i="4"/>
  <c r="C82" i="4"/>
  <c r="G79" i="4"/>
  <c r="F79" i="4"/>
  <c r="E79" i="4"/>
  <c r="D79" i="4"/>
  <c r="C79" i="4"/>
  <c r="G71" i="4"/>
  <c r="G70" i="4"/>
  <c r="G69" i="4"/>
  <c r="G68" i="4"/>
  <c r="G67" i="4"/>
  <c r="H67" i="4" s="1"/>
  <c r="G63" i="4"/>
  <c r="G61" i="4"/>
  <c r="G60" i="4"/>
  <c r="G57" i="4"/>
  <c r="G56" i="4"/>
  <c r="G49" i="4"/>
  <c r="G43" i="4"/>
  <c r="G38" i="4"/>
  <c r="G37" i="4"/>
  <c r="G35" i="4"/>
  <c r="G34" i="4"/>
  <c r="F71" i="4"/>
  <c r="F70" i="4"/>
  <c r="F69" i="4"/>
  <c r="F68" i="4"/>
  <c r="F67" i="4"/>
  <c r="F63" i="4"/>
  <c r="F61" i="4"/>
  <c r="F60" i="4"/>
  <c r="F57" i="4"/>
  <c r="F56" i="4"/>
  <c r="F49" i="4"/>
  <c r="F43" i="4"/>
  <c r="F38" i="4"/>
  <c r="F37" i="4"/>
  <c r="F35" i="4"/>
  <c r="F34" i="4"/>
  <c r="E71" i="4"/>
  <c r="E70" i="4"/>
  <c r="E69" i="4"/>
  <c r="E68" i="4"/>
  <c r="E67" i="4"/>
  <c r="E63" i="4"/>
  <c r="E61" i="4"/>
  <c r="E60" i="4"/>
  <c r="E57" i="4"/>
  <c r="E56" i="4"/>
  <c r="D71" i="4"/>
  <c r="D60" i="4"/>
  <c r="D61" i="4"/>
  <c r="D70" i="4"/>
  <c r="D69" i="4"/>
  <c r="D68" i="4"/>
  <c r="D67" i="4"/>
  <c r="C67" i="4"/>
  <c r="D63" i="4"/>
  <c r="D57" i="4"/>
  <c r="D56" i="4"/>
  <c r="G54" i="4"/>
  <c r="F54" i="4"/>
  <c r="E54" i="4"/>
  <c r="D54" i="4"/>
  <c r="E49" i="4"/>
  <c r="E43" i="4"/>
  <c r="E38" i="4"/>
  <c r="E37" i="4"/>
  <c r="E35" i="4"/>
  <c r="E34" i="4"/>
  <c r="D49" i="4"/>
  <c r="D38" i="4"/>
  <c r="D43" i="4"/>
  <c r="D37" i="4"/>
  <c r="D35" i="4"/>
  <c r="D34" i="4"/>
  <c r="G33" i="4"/>
  <c r="F33" i="4"/>
  <c r="E33" i="4"/>
  <c r="D33" i="4"/>
  <c r="C70" i="4"/>
  <c r="C49" i="4"/>
  <c r="C69" i="4"/>
  <c r="C68" i="4"/>
  <c r="C63" i="4"/>
  <c r="C61" i="4"/>
  <c r="C60" i="4"/>
  <c r="C57" i="4"/>
  <c r="C56" i="4"/>
  <c r="C54" i="4"/>
  <c r="C43" i="4"/>
  <c r="C38" i="4"/>
  <c r="C34" i="4"/>
  <c r="C35" i="4"/>
  <c r="C37" i="4"/>
  <c r="C33" i="4"/>
  <c r="G14" i="4"/>
  <c r="G15" i="4"/>
  <c r="G16" i="4"/>
  <c r="G13" i="4"/>
  <c r="G6" i="4"/>
  <c r="G131" i="4" s="1"/>
  <c r="G4" i="4"/>
  <c r="G153" i="4" s="1"/>
  <c r="F14" i="4"/>
  <c r="F15" i="4"/>
  <c r="F16" i="4"/>
  <c r="F13" i="4"/>
  <c r="F6" i="4"/>
  <c r="F131" i="4" s="1"/>
  <c r="F4" i="4"/>
  <c r="E14" i="4"/>
  <c r="E15" i="4"/>
  <c r="E16" i="4"/>
  <c r="E13" i="4"/>
  <c r="E6" i="4"/>
  <c r="E131" i="4" s="1"/>
  <c r="E4" i="4"/>
  <c r="D16" i="4"/>
  <c r="D15" i="4"/>
  <c r="D14" i="4"/>
  <c r="D13" i="4"/>
  <c r="D6" i="4"/>
  <c r="D131" i="4" s="1"/>
  <c r="D4" i="4"/>
  <c r="C16" i="4"/>
  <c r="C15" i="4"/>
  <c r="C14" i="4"/>
  <c r="C13" i="4"/>
  <c r="C6" i="4"/>
  <c r="C4" i="4"/>
  <c r="H61" i="4" l="1"/>
  <c r="I61" i="4" s="1"/>
  <c r="J61" i="4" s="1"/>
  <c r="K61" i="4" s="1"/>
  <c r="L61" i="4" s="1"/>
  <c r="H63" i="4"/>
  <c r="I63" i="4" s="1"/>
  <c r="J63" i="4" s="1"/>
  <c r="K63" i="4" s="1"/>
  <c r="L63" i="4" s="1"/>
  <c r="H70" i="4"/>
  <c r="I70" i="4" s="1"/>
  <c r="J70" i="4" s="1"/>
  <c r="K70" i="4" s="1"/>
  <c r="L70" i="4" s="1"/>
  <c r="E151" i="4"/>
  <c r="D150" i="4"/>
  <c r="D153" i="4"/>
  <c r="C150" i="4"/>
  <c r="C153" i="4"/>
  <c r="F150" i="4"/>
  <c r="F153" i="4"/>
  <c r="D152" i="4"/>
  <c r="E150" i="4"/>
  <c r="E153" i="4"/>
  <c r="I67" i="4"/>
  <c r="J67" i="4" s="1"/>
  <c r="K67" i="4" s="1"/>
  <c r="L67" i="4" s="1"/>
  <c r="C152" i="4"/>
  <c r="E152" i="4"/>
  <c r="F152" i="4"/>
  <c r="G152" i="4"/>
  <c r="G149" i="4"/>
  <c r="H149" i="4" s="1"/>
  <c r="F151" i="4"/>
  <c r="G151" i="4"/>
  <c r="H151" i="4" s="1"/>
  <c r="D151" i="4"/>
  <c r="C151" i="4"/>
  <c r="L83" i="4"/>
  <c r="K83" i="4"/>
  <c r="G148" i="4"/>
  <c r="G150" i="4"/>
  <c r="C149" i="4"/>
  <c r="F133" i="4"/>
  <c r="E149" i="4"/>
  <c r="F146" i="4"/>
  <c r="H106" i="4"/>
  <c r="I106" i="4" s="1"/>
  <c r="D149" i="4"/>
  <c r="F147" i="4"/>
  <c r="F148" i="4"/>
  <c r="E147" i="4"/>
  <c r="E148" i="4"/>
  <c r="F149" i="4"/>
  <c r="D147" i="4"/>
  <c r="D148" i="4"/>
  <c r="C148" i="4"/>
  <c r="C127" i="4"/>
  <c r="D91" i="4"/>
  <c r="D128" i="4"/>
  <c r="E91" i="4"/>
  <c r="F91" i="4"/>
  <c r="G91" i="4"/>
  <c r="E143" i="4"/>
  <c r="C91" i="4"/>
  <c r="E128" i="4"/>
  <c r="F144" i="4"/>
  <c r="E133" i="4"/>
  <c r="C120" i="4"/>
  <c r="C147" i="4"/>
  <c r="G133" i="4"/>
  <c r="G147" i="4"/>
  <c r="H147" i="4" s="1"/>
  <c r="F128" i="4"/>
  <c r="G137" i="4"/>
  <c r="G128" i="4"/>
  <c r="B27" i="5" s="1"/>
  <c r="D137" i="4"/>
  <c r="F137" i="4"/>
  <c r="E137" i="4"/>
  <c r="C128" i="4"/>
  <c r="F143" i="4"/>
  <c r="D143" i="4"/>
  <c r="G143" i="4"/>
  <c r="D133" i="4"/>
  <c r="G144" i="4"/>
  <c r="G142" i="4"/>
  <c r="G145" i="4"/>
  <c r="D146" i="4"/>
  <c r="D144" i="4"/>
  <c r="C142" i="4"/>
  <c r="D140" i="4"/>
  <c r="G141" i="4"/>
  <c r="H141" i="4" s="1"/>
  <c r="D139" i="4"/>
  <c r="D138" i="4"/>
  <c r="E144" i="4"/>
  <c r="H111" i="4"/>
  <c r="I111" i="4" s="1"/>
  <c r="E146" i="4"/>
  <c r="G136" i="4"/>
  <c r="C145" i="4"/>
  <c r="D136" i="4"/>
  <c r="D145" i="4"/>
  <c r="F141" i="4"/>
  <c r="E145" i="4"/>
  <c r="C133" i="4"/>
  <c r="C138" i="4"/>
  <c r="E138" i="4"/>
  <c r="F136" i="4"/>
  <c r="E142" i="4"/>
  <c r="F140" i="4"/>
  <c r="G139" i="4"/>
  <c r="G146" i="4"/>
  <c r="C141" i="4"/>
  <c r="E136" i="4"/>
  <c r="D142" i="4"/>
  <c r="F142" i="4"/>
  <c r="C144" i="4"/>
  <c r="F126" i="4"/>
  <c r="E140" i="4"/>
  <c r="F139" i="4"/>
  <c r="F145" i="4"/>
  <c r="C139" i="4"/>
  <c r="E141" i="4"/>
  <c r="G138" i="4"/>
  <c r="C146" i="4"/>
  <c r="G126" i="4"/>
  <c r="D129" i="4"/>
  <c r="E129" i="4"/>
  <c r="E139" i="4"/>
  <c r="C140" i="4"/>
  <c r="D141" i="4"/>
  <c r="G140" i="4"/>
  <c r="F135" i="4"/>
  <c r="F138" i="4"/>
  <c r="C136" i="4"/>
  <c r="G120" i="4"/>
  <c r="D134" i="4"/>
  <c r="G17" i="4"/>
  <c r="D135" i="4"/>
  <c r="G134" i="4"/>
  <c r="F129" i="4"/>
  <c r="D126" i="4"/>
  <c r="E134" i="4"/>
  <c r="C134" i="4"/>
  <c r="E135" i="4"/>
  <c r="F134" i="4"/>
  <c r="F125" i="4"/>
  <c r="C123" i="4"/>
  <c r="D123" i="4"/>
  <c r="E125" i="4"/>
  <c r="G125" i="4"/>
  <c r="B22" i="5" s="1"/>
  <c r="F127" i="4"/>
  <c r="D124" i="4"/>
  <c r="F124" i="4"/>
  <c r="C125" i="4"/>
  <c r="D125" i="4"/>
  <c r="E123" i="4"/>
  <c r="F123" i="4"/>
  <c r="G123" i="4"/>
  <c r="B18" i="5" s="1"/>
  <c r="C126" i="4"/>
  <c r="C135" i="4"/>
  <c r="E126" i="4"/>
  <c r="G135" i="4"/>
  <c r="C121" i="4"/>
  <c r="D127" i="4"/>
  <c r="E127" i="4"/>
  <c r="C124" i="4"/>
  <c r="E124" i="4"/>
  <c r="G124" i="4"/>
  <c r="B20" i="5" s="1"/>
  <c r="G127" i="4"/>
  <c r="B25" i="5" s="1"/>
  <c r="F130" i="4"/>
  <c r="D130" i="4"/>
  <c r="C131" i="4"/>
  <c r="E130" i="4"/>
  <c r="F120" i="4"/>
  <c r="G130" i="4"/>
  <c r="D120" i="4"/>
  <c r="E120" i="4"/>
  <c r="C130" i="4"/>
  <c r="C122" i="4"/>
  <c r="D122" i="4"/>
  <c r="E122" i="4"/>
  <c r="F122" i="4"/>
  <c r="G122" i="4"/>
  <c r="B16" i="5" s="1"/>
  <c r="C129" i="4"/>
  <c r="G129" i="4"/>
  <c r="G113" i="4"/>
  <c r="G121" i="4"/>
  <c r="C113" i="4"/>
  <c r="F121" i="4"/>
  <c r="E121" i="4"/>
  <c r="F113" i="4"/>
  <c r="D121" i="4"/>
  <c r="D113" i="4"/>
  <c r="E113" i="4"/>
  <c r="F58" i="4"/>
  <c r="E101" i="4"/>
  <c r="G101" i="4"/>
  <c r="F101" i="4"/>
  <c r="C101" i="4"/>
  <c r="D101" i="4"/>
  <c r="E64" i="4"/>
  <c r="F72" i="4"/>
  <c r="G58" i="4"/>
  <c r="F64" i="4"/>
  <c r="G72" i="4"/>
  <c r="C72" i="4"/>
  <c r="G39" i="4"/>
  <c r="G51" i="4" s="1"/>
  <c r="E72" i="4"/>
  <c r="E58" i="4"/>
  <c r="G64" i="4"/>
  <c r="D72" i="4"/>
  <c r="D17" i="4"/>
  <c r="E17" i="4"/>
  <c r="F17" i="4"/>
  <c r="C64" i="4"/>
  <c r="E39" i="4"/>
  <c r="E51" i="4" s="1"/>
  <c r="C58" i="4"/>
  <c r="D58" i="4"/>
  <c r="F39" i="4"/>
  <c r="F51" i="4" s="1"/>
  <c r="D39" i="4"/>
  <c r="D51" i="4" s="1"/>
  <c r="F9" i="4"/>
  <c r="F10" i="4" s="1"/>
  <c r="C39" i="4"/>
  <c r="C51" i="4" s="1"/>
  <c r="D64" i="4"/>
  <c r="G9" i="4"/>
  <c r="G10" i="4" s="1"/>
  <c r="E9" i="4"/>
  <c r="E10" i="4" s="1"/>
  <c r="C17" i="4"/>
  <c r="C9" i="4"/>
  <c r="C10" i="4" s="1"/>
  <c r="D9" i="4"/>
  <c r="D10" i="4" s="1"/>
  <c r="D16" i="5" l="1"/>
  <c r="C16" i="5"/>
  <c r="C27" i="5"/>
  <c r="B28" i="5"/>
  <c r="C25" i="5"/>
  <c r="B26" i="5"/>
  <c r="H60" i="4"/>
  <c r="H64" i="4" s="1"/>
  <c r="H71" i="4"/>
  <c r="I71" i="4" s="1"/>
  <c r="H153" i="4"/>
  <c r="H150" i="4"/>
  <c r="H152" i="4"/>
  <c r="J106" i="4"/>
  <c r="K106" i="4" s="1"/>
  <c r="L106" i="4" s="1"/>
  <c r="H148" i="4"/>
  <c r="J111" i="4"/>
  <c r="K111" i="4" s="1"/>
  <c r="B34" i="5"/>
  <c r="B35" i="5" s="1"/>
  <c r="B36" i="5"/>
  <c r="B37" i="5" s="1"/>
  <c r="B24" i="5"/>
  <c r="B29" i="5"/>
  <c r="B30" i="5" s="1"/>
  <c r="B31" i="5"/>
  <c r="B32" i="5" s="1"/>
  <c r="F115" i="4"/>
  <c r="C115" i="4"/>
  <c r="G115" i="4"/>
  <c r="D115" i="4"/>
  <c r="E115" i="4"/>
  <c r="F65" i="4"/>
  <c r="F73" i="4" s="1"/>
  <c r="G65" i="4"/>
  <c r="G73" i="4" s="1"/>
  <c r="C18" i="4"/>
  <c r="G18" i="4"/>
  <c r="G25" i="4" s="1"/>
  <c r="E65" i="4"/>
  <c r="E73" i="4" s="1"/>
  <c r="D18" i="4"/>
  <c r="C65" i="4"/>
  <c r="C73" i="4" s="1"/>
  <c r="F18" i="4"/>
  <c r="F25" i="4" s="1"/>
  <c r="D65" i="4"/>
  <c r="D73" i="4" s="1"/>
  <c r="E18" i="4"/>
  <c r="F16" i="5" l="1"/>
  <c r="D25" i="5"/>
  <c r="C26" i="5"/>
  <c r="D27" i="5"/>
  <c r="C28" i="5"/>
  <c r="C29" i="5"/>
  <c r="C31" i="5"/>
  <c r="C32" i="5" s="1"/>
  <c r="I60" i="4"/>
  <c r="J71" i="4"/>
  <c r="K71" i="4" s="1"/>
  <c r="L71" i="4" s="1"/>
  <c r="E25" i="4"/>
  <c r="E132" i="4" s="1"/>
  <c r="D25" i="4"/>
  <c r="D132" i="4" s="1"/>
  <c r="C25" i="4"/>
  <c r="C27" i="4" s="1"/>
  <c r="C28" i="4" s="1"/>
  <c r="F132" i="4"/>
  <c r="C117" i="4"/>
  <c r="D116" i="4" s="1"/>
  <c r="D117" i="4" s="1"/>
  <c r="E116" i="4" s="1"/>
  <c r="E117" i="4" s="1"/>
  <c r="F116" i="4" s="1"/>
  <c r="L111" i="4"/>
  <c r="C36" i="5"/>
  <c r="C37" i="5" s="1"/>
  <c r="C34" i="5"/>
  <c r="C35" i="5" s="1"/>
  <c r="C11" i="5"/>
  <c r="C12" i="5" s="1"/>
  <c r="C10" i="5"/>
  <c r="B11" i="5"/>
  <c r="B10" i="5"/>
  <c r="G132" i="4"/>
  <c r="E16" i="5" l="1"/>
  <c r="B12" i="5"/>
  <c r="D29" i="5"/>
  <c r="D30" i="5" s="1"/>
  <c r="C30" i="5"/>
  <c r="E27" i="5"/>
  <c r="D28" i="5"/>
  <c r="E25" i="5"/>
  <c r="D26" i="5"/>
  <c r="D31" i="5"/>
  <c r="D32" i="5" s="1"/>
  <c r="D27" i="4"/>
  <c r="D28" i="4" s="1"/>
  <c r="J60" i="4"/>
  <c r="F117" i="4"/>
  <c r="G116" i="4" s="1"/>
  <c r="G117" i="4" s="1"/>
  <c r="H116" i="4" s="1"/>
  <c r="E27" i="4"/>
  <c r="E28" i="4" s="1"/>
  <c r="C132" i="4"/>
  <c r="F27" i="4"/>
  <c r="F28" i="4" s="1"/>
  <c r="H4" i="4"/>
  <c r="H89" i="4"/>
  <c r="G27" i="4"/>
  <c r="G28" i="4" s="1"/>
  <c r="D34" i="5"/>
  <c r="D35" i="5" s="1"/>
  <c r="D36" i="5"/>
  <c r="D37" i="5" s="1"/>
  <c r="D11" i="5"/>
  <c r="D12" i="5" s="1"/>
  <c r="D10" i="5"/>
  <c r="E29" i="5" l="1"/>
  <c r="E30" i="5" s="1"/>
  <c r="H13" i="4"/>
  <c r="H94" i="4"/>
  <c r="H44" i="4" s="1"/>
  <c r="F25" i="5"/>
  <c r="F26" i="5" s="1"/>
  <c r="E26" i="5"/>
  <c r="F27" i="5"/>
  <c r="F28" i="5" s="1"/>
  <c r="E28" i="5"/>
  <c r="E31" i="5"/>
  <c r="E32" i="5" s="1"/>
  <c r="K60" i="4"/>
  <c r="H6" i="4"/>
  <c r="H43" i="4"/>
  <c r="H56" i="4"/>
  <c r="H90" i="4" s="1"/>
  <c r="H100" i="4"/>
  <c r="H128" i="4" s="1"/>
  <c r="I4" i="4"/>
  <c r="H14" i="4"/>
  <c r="C18" i="5" s="1"/>
  <c r="H81" i="4"/>
  <c r="H38" i="4"/>
  <c r="H37" i="4"/>
  <c r="H96" i="4"/>
  <c r="H49" i="4"/>
  <c r="H47" i="4"/>
  <c r="H109" i="4"/>
  <c r="H113" i="4" s="1"/>
  <c r="H80" i="4"/>
  <c r="H127" i="4" s="1"/>
  <c r="H126" i="4"/>
  <c r="C24" i="5" s="1"/>
  <c r="H15" i="4"/>
  <c r="H35" i="4"/>
  <c r="H85" i="4" s="1"/>
  <c r="H82" i="4"/>
  <c r="H120" i="4"/>
  <c r="H16" i="4"/>
  <c r="C22" i="5" s="1"/>
  <c r="I89" i="4"/>
  <c r="F29" i="5"/>
  <c r="F30" i="5" s="1"/>
  <c r="E36" i="5"/>
  <c r="E37" i="5" s="1"/>
  <c r="E34" i="5"/>
  <c r="E35" i="5" s="1"/>
  <c r="E11" i="5"/>
  <c r="E12" i="5" s="1"/>
  <c r="E10" i="5"/>
  <c r="I47" i="4" l="1"/>
  <c r="I126" i="4"/>
  <c r="F31" i="5"/>
  <c r="F32" i="5" s="1"/>
  <c r="H68" i="4"/>
  <c r="H50" i="4"/>
  <c r="I14" i="4"/>
  <c r="I86" i="4"/>
  <c r="H86" i="4"/>
  <c r="I94" i="4"/>
  <c r="I44" i="4" s="1"/>
  <c r="I120" i="4"/>
  <c r="H87" i="4"/>
  <c r="I37" i="4"/>
  <c r="I81" i="4"/>
  <c r="I38" i="4"/>
  <c r="L60" i="4"/>
  <c r="I109" i="4"/>
  <c r="I113" i="4" s="1"/>
  <c r="I43" i="4"/>
  <c r="I56" i="4"/>
  <c r="I90" i="4" s="1"/>
  <c r="I6" i="4"/>
  <c r="I49" i="4"/>
  <c r="I35" i="4"/>
  <c r="I129" i="4" s="1"/>
  <c r="I82" i="4"/>
  <c r="J4" i="4"/>
  <c r="J81" i="4" s="1"/>
  <c r="H95" i="4"/>
  <c r="I96" i="4"/>
  <c r="I95" i="4"/>
  <c r="H17" i="4"/>
  <c r="C20" i="5"/>
  <c r="H9" i="4"/>
  <c r="D24" i="5"/>
  <c r="H131" i="4"/>
  <c r="H129" i="4"/>
  <c r="H54" i="4"/>
  <c r="J89" i="4"/>
  <c r="I13" i="4"/>
  <c r="I64" i="4"/>
  <c r="F36" i="5"/>
  <c r="F37" i="5" s="1"/>
  <c r="F34" i="5"/>
  <c r="F35" i="5" s="1"/>
  <c r="F10" i="5"/>
  <c r="F11" i="5"/>
  <c r="F12" i="5" s="1"/>
  <c r="D18" i="5" l="1"/>
  <c r="J14" i="4" s="1"/>
  <c r="E18" i="5" s="1"/>
  <c r="I50" i="4"/>
  <c r="J80" i="4"/>
  <c r="J127" i="4" s="1"/>
  <c r="J35" i="4"/>
  <c r="J129" i="4" s="1"/>
  <c r="K4" i="4"/>
  <c r="K109" i="4" s="1"/>
  <c r="K113" i="4" s="1"/>
  <c r="I85" i="4"/>
  <c r="J37" i="4"/>
  <c r="I87" i="4"/>
  <c r="J94" i="4"/>
  <c r="J38" i="4"/>
  <c r="I54" i="4"/>
  <c r="I88" i="4" s="1"/>
  <c r="J109" i="4"/>
  <c r="J113" i="4" s="1"/>
  <c r="J43" i="4"/>
  <c r="J56" i="4"/>
  <c r="J90" i="4" s="1"/>
  <c r="J6" i="4"/>
  <c r="J120" i="4"/>
  <c r="J82" i="4"/>
  <c r="J49" i="4"/>
  <c r="J47" i="4"/>
  <c r="I15" i="4"/>
  <c r="I16" i="4"/>
  <c r="D22" i="5" s="1"/>
  <c r="I80" i="4"/>
  <c r="I127" i="4" s="1"/>
  <c r="J96" i="4"/>
  <c r="J95" i="4"/>
  <c r="H26" i="4"/>
  <c r="H130" i="4"/>
  <c r="H88" i="4"/>
  <c r="K89" i="4"/>
  <c r="J64" i="4"/>
  <c r="D20" i="5" l="1"/>
  <c r="J15" i="4" s="1"/>
  <c r="E20" i="5" s="1"/>
  <c r="K43" i="4"/>
  <c r="K47" i="4"/>
  <c r="K86" i="4" s="1"/>
  <c r="L4" i="4"/>
  <c r="L35" i="4" s="1"/>
  <c r="I17" i="4"/>
  <c r="J13" i="4"/>
  <c r="K37" i="4"/>
  <c r="K56" i="4"/>
  <c r="K90" i="4" s="1"/>
  <c r="J85" i="4"/>
  <c r="K49" i="4"/>
  <c r="K81" i="4"/>
  <c r="K6" i="4"/>
  <c r="K120" i="4"/>
  <c r="K35" i="4"/>
  <c r="K129" i="4" s="1"/>
  <c r="K38" i="4"/>
  <c r="K82" i="4"/>
  <c r="K94" i="4"/>
  <c r="K80" i="4"/>
  <c r="K127" i="4" s="1"/>
  <c r="J44" i="4"/>
  <c r="J50" i="4" s="1"/>
  <c r="J87" i="4"/>
  <c r="J86" i="4"/>
  <c r="J16" i="4"/>
  <c r="E22" i="5" s="1"/>
  <c r="K96" i="4"/>
  <c r="K95" i="4"/>
  <c r="I9" i="4"/>
  <c r="I10" i="4" s="1"/>
  <c r="I131" i="4"/>
  <c r="J126" i="4"/>
  <c r="E24" i="5" s="1"/>
  <c r="L89" i="4"/>
  <c r="I130" i="4"/>
  <c r="H27" i="4"/>
  <c r="H132" i="4"/>
  <c r="K64" i="4"/>
  <c r="L43" i="4" l="1"/>
  <c r="L6" i="4"/>
  <c r="L109" i="4"/>
  <c r="L113" i="4" s="1"/>
  <c r="L56" i="4"/>
  <c r="L90" i="4" s="1"/>
  <c r="L94" i="4"/>
  <c r="L49" i="4"/>
  <c r="L38" i="4"/>
  <c r="L37" i="4"/>
  <c r="L120" i="4"/>
  <c r="L82" i="4"/>
  <c r="L81" i="4"/>
  <c r="L47" i="4"/>
  <c r="L86" i="4" s="1"/>
  <c r="L80" i="4"/>
  <c r="L127" i="4" s="1"/>
  <c r="K87" i="4"/>
  <c r="K85" i="4"/>
  <c r="H79" i="4"/>
  <c r="H69" i="4"/>
  <c r="H72" i="4" s="1"/>
  <c r="K44" i="4"/>
  <c r="K50" i="4" s="1"/>
  <c r="L95" i="4"/>
  <c r="J54" i="4"/>
  <c r="I18" i="4"/>
  <c r="I25" i="4" s="1"/>
  <c r="J17" i="4"/>
  <c r="K15" i="4"/>
  <c r="K14" i="4"/>
  <c r="L129" i="4"/>
  <c r="L85" i="4"/>
  <c r="L64" i="4"/>
  <c r="H28" i="4"/>
  <c r="L87" i="4" l="1"/>
  <c r="L44" i="4"/>
  <c r="L50" i="4" s="1"/>
  <c r="J9" i="4"/>
  <c r="J10" i="4" s="1"/>
  <c r="J131" i="4"/>
  <c r="F20" i="5"/>
  <c r="J130" i="4"/>
  <c r="K126" i="4"/>
  <c r="F24" i="5" s="1"/>
  <c r="K13" i="4"/>
  <c r="J88" i="4"/>
  <c r="F18" i="5"/>
  <c r="J18" i="4" l="1"/>
  <c r="J25" i="4" s="1"/>
  <c r="L15" i="4"/>
  <c r="L126" i="4"/>
  <c r="K16" i="4"/>
  <c r="L14" i="4"/>
  <c r="I26" i="4"/>
  <c r="I132" i="4" s="1"/>
  <c r="F22" i="5" l="1"/>
  <c r="K17" i="4"/>
  <c r="I27" i="4"/>
  <c r="I28" i="4" s="1"/>
  <c r="K54" i="4"/>
  <c r="K130" i="4" s="1"/>
  <c r="L13" i="4"/>
  <c r="K9" i="4"/>
  <c r="K131" i="4"/>
  <c r="K88" i="4" l="1"/>
  <c r="L16" i="4"/>
  <c r="I69" i="4"/>
  <c r="I79" i="4"/>
  <c r="J26" i="4"/>
  <c r="J132" i="4" s="1"/>
  <c r="K10" i="4"/>
  <c r="K18" i="4"/>
  <c r="K25" i="4" s="1"/>
  <c r="L17" i="4" l="1"/>
  <c r="L54" i="4"/>
  <c r="L130" i="4" s="1"/>
  <c r="J27" i="4"/>
  <c r="J28" i="4" s="1"/>
  <c r="L9" i="4"/>
  <c r="L131" i="4"/>
  <c r="L88" i="4" l="1"/>
  <c r="J69" i="4"/>
  <c r="K26" i="4"/>
  <c r="K132" i="4" s="1"/>
  <c r="J79" i="4"/>
  <c r="L10" i="4"/>
  <c r="L18" i="4"/>
  <c r="L25" i="4" s="1"/>
  <c r="K27" i="4" l="1"/>
  <c r="K69" i="4" s="1"/>
  <c r="L26" i="4"/>
  <c r="K28" i="4" l="1"/>
  <c r="K79" i="4"/>
  <c r="L27" i="4"/>
  <c r="L69" i="4" s="1"/>
  <c r="L132" i="4"/>
  <c r="L28" i="4" l="1"/>
  <c r="L79" i="4"/>
  <c r="I100" i="4" l="1"/>
  <c r="I68" i="4" l="1"/>
  <c r="I128" i="4" l="1"/>
  <c r="J68" i="4"/>
  <c r="I72" i="4"/>
  <c r="J100" i="4" l="1"/>
  <c r="J72" i="4"/>
  <c r="K68" i="4"/>
  <c r="J128" i="4" l="1"/>
  <c r="K72" i="4"/>
  <c r="L68" i="4"/>
  <c r="L72" i="4" s="1"/>
  <c r="K100" i="4" l="1"/>
  <c r="K128" i="4" l="1"/>
  <c r="L100" i="4" s="1"/>
  <c r="L128" i="4" l="1"/>
  <c r="J91" i="4"/>
  <c r="H91" i="4"/>
  <c r="K91" i="4"/>
  <c r="I91" i="4" l="1"/>
  <c r="L91" i="4"/>
  <c r="H101" i="4" l="1"/>
  <c r="H115" i="4" s="1"/>
  <c r="H117" i="4" s="1"/>
  <c r="H33" i="4" l="1"/>
  <c r="H75" i="4" s="1"/>
  <c r="I116" i="4"/>
  <c r="H34" i="4" l="1"/>
  <c r="H57" i="4"/>
  <c r="I101" i="4"/>
  <c r="I115" i="4" s="1"/>
  <c r="I117" i="4" s="1"/>
  <c r="I33" i="4" l="1"/>
  <c r="I75" i="4" s="1"/>
  <c r="J116" i="4"/>
  <c r="I34" i="4" l="1"/>
  <c r="I57" i="4"/>
  <c r="J101" i="4"/>
  <c r="J115" i="4" s="1"/>
  <c r="J117" i="4" s="1"/>
  <c r="K116" i="4" l="1"/>
  <c r="J33" i="4"/>
  <c r="J75" i="4" s="1"/>
  <c r="J34" i="4" l="1"/>
  <c r="J57" i="4"/>
  <c r="K101" i="4"/>
  <c r="K115" i="4" s="1"/>
  <c r="K117" i="4" s="1"/>
  <c r="K33" i="4" l="1"/>
  <c r="K75" i="4" s="1"/>
  <c r="L116" i="4"/>
  <c r="K34" i="4" l="1"/>
  <c r="K57" i="4"/>
  <c r="L101" i="4"/>
  <c r="L115" i="4" s="1"/>
  <c r="L117" i="4" s="1"/>
  <c r="L33" i="4" s="1"/>
  <c r="L75" i="4" s="1"/>
  <c r="I58" i="4"/>
  <c r="I65" i="4" s="1"/>
  <c r="I73" i="4" s="1"/>
  <c r="H58" i="4"/>
  <c r="H65" i="4" s="1"/>
  <c r="H73" i="4" s="1"/>
  <c r="H39" i="4" s="1"/>
  <c r="H51" i="4" s="1"/>
  <c r="H74" i="4" s="1"/>
  <c r="L57" i="4" l="1"/>
  <c r="L34" i="4"/>
  <c r="J58" i="4"/>
  <c r="J65" i="4" s="1"/>
  <c r="J73" i="4" s="1"/>
  <c r="I39" i="4"/>
  <c r="I51" i="4" s="1"/>
  <c r="I74" i="4" s="1"/>
  <c r="K58" i="4" l="1"/>
  <c r="K65" i="4" s="1"/>
  <c r="K73" i="4" s="1"/>
  <c r="L58" i="4"/>
  <c r="L65" i="4" s="1"/>
  <c r="L73" i="4" s="1"/>
  <c r="J39" i="4"/>
  <c r="J51" i="4" s="1"/>
  <c r="J74" i="4" s="1"/>
  <c r="L39" i="4" l="1"/>
  <c r="L51" i="4" s="1"/>
  <c r="L74" i="4" s="1"/>
  <c r="K39" i="4"/>
  <c r="K51" i="4" s="1"/>
  <c r="K74" i="4" s="1"/>
</calcChain>
</file>

<file path=xl/sharedStrings.xml><?xml version="1.0" encoding="utf-8"?>
<sst xmlns="http://schemas.openxmlformats.org/spreadsheetml/2006/main" count="359" uniqueCount="285">
  <si>
    <t>Created by EDGAR Online, Inc.</t>
  </si>
  <si>
    <t/>
  </si>
  <si>
    <t>SALESFORCE, INC.</t>
  </si>
  <si>
    <t>BALANCE_SHEET</t>
  </si>
  <si>
    <t>Form Type: 10-K</t>
  </si>
  <si>
    <t>Period End: Jan 31, 2026</t>
  </si>
  <si>
    <t>Date Filed: Mar 02, 2026</t>
  </si>
  <si>
    <t>Table Of Contents</t>
  </si>
  <si>
    <t>Salesforce, Inc.</t>
  </si>
  <si>
    <t>Consolidated Balance Sheets</t>
  </si>
  <si>
    <t>(in millions)</t>
  </si>
  <si>
    <t>January 31,</t>
  </si>
  <si>
    <t>Assets</t>
  </si>
  <si>
    <t>Current assets:</t>
  </si>
  <si>
    <t>Cash and cash equivalents</t>
  </si>
  <si>
    <t>Marketable securities</t>
  </si>
  <si>
    <t>Accounts receivable, net</t>
  </si>
  <si>
    <t>Costs capitalized to obtain revenue contracts, net</t>
  </si>
  <si>
    <t>Prepaid expenses and other current assets</t>
  </si>
  <si>
    <t>Total current assets</t>
  </si>
  <si>
    <t>Property and equipment, net</t>
  </si>
  <si>
    <t>Operating lease right-of-use assets, net</t>
  </si>
  <si>
    <t>Noncurrent costs capitalized to obtain revenue contracts, net</t>
  </si>
  <si>
    <t>Strategic investments</t>
  </si>
  <si>
    <t>Goodwill</t>
  </si>
  <si>
    <t>Intangible assets acquired through business combinations, net</t>
  </si>
  <si>
    <t>Deferred tax assets and other assets, net</t>
  </si>
  <si>
    <t>Total assets</t>
  </si>
  <si>
    <t>Liabilities and stockholders' equity</t>
  </si>
  <si>
    <t>Current liabilities:</t>
  </si>
  <si>
    <t>Accounts payable, accrued expenses and other liabilities</t>
  </si>
  <si>
    <t>Operating lease liabilities, current</t>
  </si>
  <si>
    <t>Unearned revenue</t>
  </si>
  <si>
    <t>Debt, current</t>
  </si>
  <si>
    <t>Total current liabilities</t>
  </si>
  <si>
    <t>Noncurrent debt</t>
  </si>
  <si>
    <t>Noncurrent operating lease liabilities</t>
  </si>
  <si>
    <t>Other noncurrent liabilities</t>
  </si>
  <si>
    <t>Total liabilities</t>
  </si>
  <si>
    <t>Commitments and contingencies (See Notes 6 and 14)</t>
  </si>
  <si>
    <t>Stockholders' equity:</t>
  </si>
  <si>
    <t>Preferred stock, $0.001 par value; 5 shares authorized and none</t>
  </si>
  <si>
    <t>issued and outstanding</t>
  </si>
  <si>
    <t>Common stock, $0.001 par value; 1,600 shares authorized, 1,073 and</t>
  </si>
  <si>
    <t>1,056 shares issued as of January 31, 2026 and 2025, respectively,</t>
  </si>
  <si>
    <t>and 929 and 962 shares outstanding as of January 31, 2026 and 2025,</t>
  </si>
  <si>
    <t>respectively</t>
  </si>
  <si>
    <t>Treasury stock, at cost</t>
  </si>
  <si>
    <t>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</si>
  <si>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</si>
  <si>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</si>
  <si>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</si>
  <si>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</si>
  <si>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INCOME_STATEMENT</t>
  </si>
  <si>
    <t>Consolidated Statements of Operations</t>
  </si>
  <si>
    <t>(in millions, except per share data)</t>
  </si>
  <si>
    <t>4</t>
  </si>
  <si>
    <t>Fiscal Year Ended January 31,</t>
  </si>
  <si>
    <t>Revenues:</t>
  </si>
  <si>
    <t>Subscription and support</t>
  </si>
  <si>
    <t>Professional services and other</t>
  </si>
  <si>
    <t>Total revenues</t>
  </si>
  <si>
    <t>Cost of revenues (1)(2):</t>
  </si>
  <si>
    <t>Total cost of revenues</t>
  </si>
  <si>
    <t>Gross profit</t>
  </si>
  <si>
    <t>Operating expenses (1)(2):</t>
  </si>
  <si>
    <t>Research and development</t>
  </si>
  <si>
    <t>Sales and marketing</t>
  </si>
  <si>
    <t>General and administrative</t>
  </si>
  <si>
    <t>Restructuring</t>
  </si>
  <si>
    <t>Total operating expenses</t>
  </si>
  <si>
    <t>Income from operations</t>
  </si>
  <si>
    <t>Gains (losses) on strategic investments, net</t>
  </si>
  <si>
    <t>Other income</t>
  </si>
  <si>
    <t>Income before provision for income taxes</t>
  </si>
  <si>
    <t>Provision for income taxes</t>
  </si>
  <si>
    <t>Net income</t>
  </si>
  <si>
    <t>Basic net income per share</t>
  </si>
  <si>
    <t>Diluted net income per share</t>
  </si>
  <si>
    <t>Shares used in computing basic net income per share</t>
  </si>
  <si>
    <t>Shares used in computing diluted net income per share</t>
  </si>
  <si>
    <t>CASH_FLOW</t>
  </si>
  <si>
    <t>Consolidated Statements of Cash Flows</t>
  </si>
  <si>
    <t>Operating activities:</t>
  </si>
  <si>
    <t>Adjustments to reconcile net income to net cash provided by</t>
  </si>
  <si>
    <t>operating activities:</t>
  </si>
  <si>
    <t>Depreciation and amortization (1)</t>
  </si>
  <si>
    <t>Amortization of costs capitalized to obtain revenue</t>
  </si>
  <si>
    <t>contracts, net</t>
  </si>
  <si>
    <t>Stock-based compensation expense</t>
  </si>
  <si>
    <t>(Gains) losses on strategic investments, net</t>
  </si>
  <si>
    <t>Changes in assets and liabilities, net of business</t>
  </si>
  <si>
    <t>combinations:</t>
  </si>
  <si>
    <t>Prepaid expenses and other current assets and other assets</t>
  </si>
  <si>
    <t>Accounts payable and accrued expenses and other liabilities</t>
  </si>
  <si>
    <t>Operating lease liabilities</t>
  </si>
  <si>
    <t>Net cash provided by operating activities</t>
  </si>
  <si>
    <t>Investing activities:</t>
  </si>
  <si>
    <t>Business combinations, net of cash acquired</t>
  </si>
  <si>
    <t>Purchases of strategic investments</t>
  </si>
  <si>
    <t>Sales of strategic investments</t>
  </si>
  <si>
    <t>Purchases of marketable securities</t>
  </si>
  <si>
    <t>Sales of marketable securities</t>
  </si>
  <si>
    <t>Maturities of marketable securities</t>
  </si>
  <si>
    <t>Capital expenditures</t>
  </si>
  <si>
    <t>Net cash used in investing activities</t>
  </si>
  <si>
    <t>Financing activities:</t>
  </si>
  <si>
    <t>Proceeds from issuance of debt, net of issuance costs</t>
  </si>
  <si>
    <t>Repurchases of common stock</t>
  </si>
  <si>
    <t>Payments for taxes related to net share settlement of equity</t>
  </si>
  <si>
    <t>awards</t>
  </si>
  <si>
    <t>Proceeds from employee stock plans</t>
  </si>
  <si>
    <t>Principal payments on financing obligations</t>
  </si>
  <si>
    <t>Repayments of debt</t>
  </si>
  <si>
    <t>Payments of dividends and dividend equivalents</t>
  </si>
  <si>
    <t>Net cash used in financing activities</t>
  </si>
  <si>
    <t>Effect of exchange rate changes</t>
  </si>
  <si>
    <t>Net increase (decrease) in cash and cash equivalents</t>
  </si>
  <si>
    <t>Cash and cash equivalents, beginning of period</t>
  </si>
  <si>
    <t>Cash and cash equivalents, end of period</t>
  </si>
  <si>
    <t>January 31, 2024</t>
  </si>
  <si>
    <t>January 31, 2023</t>
  </si>
  <si>
    <t>January 31,2026</t>
  </si>
  <si>
    <t>January 31,2025</t>
  </si>
  <si>
    <t>Repayments of Slack Convertible Notes, net of capped call</t>
  </si>
  <si>
    <t>proceeds</t>
  </si>
  <si>
    <t>January 31, 2022</t>
  </si>
  <si>
    <t>Income statement</t>
  </si>
  <si>
    <t>Balancesheet</t>
  </si>
  <si>
    <t>Cashflow statement</t>
  </si>
  <si>
    <t>Revenue:</t>
  </si>
  <si>
    <t>COGS:</t>
  </si>
  <si>
    <t>Direct material/hosting/delivery</t>
  </si>
  <si>
    <t>Direct labor</t>
  </si>
  <si>
    <t>Other direct costs</t>
  </si>
  <si>
    <t>Gross Profit</t>
  </si>
  <si>
    <t>Gross margin</t>
  </si>
  <si>
    <t>Operating expenses:</t>
  </si>
  <si>
    <t>R&amp;D</t>
  </si>
  <si>
    <t>Sales &amp; marketing</t>
  </si>
  <si>
    <t>G&amp;A</t>
  </si>
  <si>
    <t>Other opex</t>
  </si>
  <si>
    <t>Total opex</t>
  </si>
  <si>
    <t>Non-operating items:</t>
  </si>
  <si>
    <t>EBITDA</t>
  </si>
  <si>
    <t>Interest income</t>
  </si>
  <si>
    <t>Interest expense</t>
  </si>
  <si>
    <t>Other income/(expense)</t>
  </si>
  <si>
    <t>Pre-tax income</t>
  </si>
  <si>
    <t>Income tax expense</t>
  </si>
  <si>
    <t>Net income margin</t>
  </si>
  <si>
    <t>Amount in millions</t>
  </si>
  <si>
    <t>Assets:</t>
  </si>
  <si>
    <t>Short term investment</t>
  </si>
  <si>
    <t>Inventory</t>
  </si>
  <si>
    <t>Prepaid expenses</t>
  </si>
  <si>
    <t>Other CA</t>
  </si>
  <si>
    <t>Total CA</t>
  </si>
  <si>
    <t>Non-Current assets</t>
  </si>
  <si>
    <t>PPE</t>
  </si>
  <si>
    <t>Accoumulated depreciation</t>
  </si>
  <si>
    <t>PPE, net</t>
  </si>
  <si>
    <t>Intangible assets</t>
  </si>
  <si>
    <t>Other non current assets</t>
  </si>
  <si>
    <t>Total Assets</t>
  </si>
  <si>
    <t>Liabilities:</t>
  </si>
  <si>
    <t>Current Liabilities</t>
  </si>
  <si>
    <t>Accounts Payable</t>
  </si>
  <si>
    <t>Current Assets</t>
  </si>
  <si>
    <t>Accrued expenses</t>
  </si>
  <si>
    <t>Other CL</t>
  </si>
  <si>
    <t>Short term debt- current portion</t>
  </si>
  <si>
    <t>Total CL</t>
  </si>
  <si>
    <t>Non-current liabilities</t>
  </si>
  <si>
    <t>Long term debt</t>
  </si>
  <si>
    <t>lease liabilities</t>
  </si>
  <si>
    <t>Deffered tax liability</t>
  </si>
  <si>
    <t>Other non-current liabilities</t>
  </si>
  <si>
    <t>Total Liabilities</t>
  </si>
  <si>
    <t>Total non-current Liabilities</t>
  </si>
  <si>
    <t>Equity</t>
  </si>
  <si>
    <t>Common Stock</t>
  </si>
  <si>
    <t>Additional paid -in capital</t>
  </si>
  <si>
    <t>Total Equity</t>
  </si>
  <si>
    <t>Total Liabilities &amp; Equity</t>
  </si>
  <si>
    <t>Net Income</t>
  </si>
  <si>
    <t>Depreciation &amp; amortisation</t>
  </si>
  <si>
    <t>Changes in working capital</t>
  </si>
  <si>
    <t>Accounts payable</t>
  </si>
  <si>
    <t>CF from operating activities</t>
  </si>
  <si>
    <t>Investing activities</t>
  </si>
  <si>
    <t>Capex</t>
  </si>
  <si>
    <t>CF from investing activities</t>
  </si>
  <si>
    <t>Financing Activities</t>
  </si>
  <si>
    <t>Debt repaid</t>
  </si>
  <si>
    <t>Dividends paid</t>
  </si>
  <si>
    <t>CF from financing activities</t>
  </si>
  <si>
    <t>Net change in cash</t>
  </si>
  <si>
    <t>Beginning cash</t>
  </si>
  <si>
    <t>Ending cash</t>
  </si>
  <si>
    <t>Ratios</t>
  </si>
  <si>
    <t>Revenue Growth</t>
  </si>
  <si>
    <t>COGS % of revenue</t>
  </si>
  <si>
    <t>R&amp;D % of revenue</t>
  </si>
  <si>
    <t>Sales &amp; marketing % of revenue</t>
  </si>
  <si>
    <t>G&amp;A % of revenue</t>
  </si>
  <si>
    <t>Other opex % revenue</t>
  </si>
  <si>
    <t>D &amp; A % of revenue</t>
  </si>
  <si>
    <t>Capex % of revenue</t>
  </si>
  <si>
    <t>AR days</t>
  </si>
  <si>
    <t>AP days</t>
  </si>
  <si>
    <t>Inventory days</t>
  </si>
  <si>
    <t>Years</t>
  </si>
  <si>
    <t xml:space="preserve">Fiscal Year Ended </t>
  </si>
  <si>
    <t>Deferred Tax asset</t>
  </si>
  <si>
    <t>Payments for taxes related to net share settlement of equity awards</t>
  </si>
  <si>
    <t>Repayments of Slack Convertible Notes, net of capped call proceeds</t>
  </si>
  <si>
    <t>Tax %</t>
  </si>
  <si>
    <t>Scenario Selector</t>
  </si>
  <si>
    <t>Active Growth%</t>
  </si>
  <si>
    <t>COGS % of revenue- Base</t>
  </si>
  <si>
    <t>Active COGS % of revenue</t>
  </si>
  <si>
    <t>R&amp;D % of revenue- Base</t>
  </si>
  <si>
    <t>Active R&amp;D % of revenue</t>
  </si>
  <si>
    <t>Sales &amp; marketing % of revenue- Base</t>
  </si>
  <si>
    <t>Active Sales &amp; marketing % of revenue</t>
  </si>
  <si>
    <t>G&amp;A % of revenue- Base</t>
  </si>
  <si>
    <t>Active G&amp;A % of revenue</t>
  </si>
  <si>
    <t>Other opex % revenue- Base</t>
  </si>
  <si>
    <t>Active Other opex % revenue</t>
  </si>
  <si>
    <t>D &amp; A % of revenue-Base</t>
  </si>
  <si>
    <t>Active D &amp; A % of revenue</t>
  </si>
  <si>
    <t>Capex % of revenue-Base</t>
  </si>
  <si>
    <t>Active Capex % of revenue</t>
  </si>
  <si>
    <t>AR days- Base</t>
  </si>
  <si>
    <t>Active AR days</t>
  </si>
  <si>
    <t>AP days- Base</t>
  </si>
  <si>
    <t>Active AP days</t>
  </si>
  <si>
    <t>Active Tax rate%</t>
  </si>
  <si>
    <t>January 31, 27</t>
  </si>
  <si>
    <t>January 31, 28</t>
  </si>
  <si>
    <t>January 31, 29</t>
  </si>
  <si>
    <t>January 31, 30</t>
  </si>
  <si>
    <t>January 31, 31</t>
  </si>
  <si>
    <t>Timing as on</t>
  </si>
  <si>
    <t>Revenue Growth- 1:Base</t>
  </si>
  <si>
    <t>Revenue Growth- 2:Bull</t>
  </si>
  <si>
    <t>Revenue Growth- 3:Bear</t>
  </si>
  <si>
    <t>Other Income - Base</t>
  </si>
  <si>
    <t>Other Income - Active</t>
  </si>
  <si>
    <t>Scenarios</t>
  </si>
  <si>
    <t>Historical Avg</t>
  </si>
  <si>
    <t>Accounts receivable</t>
  </si>
  <si>
    <t>Prepaid expenses- Base</t>
  </si>
  <si>
    <t>Active Prepaid expenses</t>
  </si>
  <si>
    <t>Annual Inflation assumption</t>
  </si>
  <si>
    <t>Active Other CA</t>
  </si>
  <si>
    <t>Active Net PPE</t>
  </si>
  <si>
    <t>Active intangible Assets</t>
  </si>
  <si>
    <t>Active non-curretn assets</t>
  </si>
  <si>
    <t>Active Deferred Tax asset</t>
  </si>
  <si>
    <t>Active Other non-current liabilities</t>
  </si>
  <si>
    <t>Active Accumulated other comprehensive income (loss)</t>
  </si>
  <si>
    <t>Active Treasury stock, at cost</t>
  </si>
  <si>
    <t>A/cs Receivable</t>
  </si>
  <si>
    <t>Base-1</t>
  </si>
  <si>
    <t>Bull-2</t>
  </si>
  <si>
    <t>Bear-3</t>
  </si>
  <si>
    <t>Ac/cs receivable, net</t>
  </si>
  <si>
    <t>Check</t>
  </si>
  <si>
    <t>Total Revenue</t>
  </si>
  <si>
    <t>Active lease liability</t>
  </si>
  <si>
    <t xml:space="preserve">Amortization of costs capitalized to obtain revenue contracts, net   </t>
  </si>
  <si>
    <t>Amortization of costs capitalized to obtain revenue contracts, net</t>
  </si>
  <si>
    <t>Unearned Revenue</t>
  </si>
  <si>
    <t>Proceeds from Debt issuance</t>
  </si>
  <si>
    <t>Stock based compensation</t>
  </si>
  <si>
    <t>Strategic Investments</t>
  </si>
  <si>
    <t>Proceeds from employee stock option</t>
  </si>
  <si>
    <t>Purchase of marketable securities</t>
  </si>
  <si>
    <t>Total non-current assets</t>
  </si>
  <si>
    <t>CCE-marketable securities</t>
  </si>
  <si>
    <t>Funding Gap</t>
  </si>
  <si>
    <t>Annual improvement</t>
  </si>
  <si>
    <t>Strategic investments held at cost, no activity assumed. As historical gains/losses are non-operating, unpredictable mark-to-market swings on strategic investments (e.g. +$1,017M FY26, -$121M FY25). Held flat at zero as a conservative, non-speculative assumption.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</si>
</sst>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00000000000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37" fontId="0" fillId="0" borderId="0" xfId="0" applyNumberFormat="1"/>
    <xf numFmtId="10" fontId="0" fillId="0" borderId="0" xfId="1" applyNumberFormat="1" applyFont="1"/>
    <xf numFmtId="1" fontId="0" fillId="0" borderId="0" xfId="0" applyNumberFormat="1"/>
    <xf numFmtId="37" fontId="0" fillId="0" borderId="1" xfId="0" applyNumberFormat="1" applyBorder="1"/>
    <xf numFmtId="37" fontId="0" fillId="0" borderId="2" xfId="0" applyNumberFormat="1" applyBorder="1"/>
    <xf numFmtId="0" fontId="0" fillId="0" borderId="2" xfId="0" applyBorder="1"/>
    <xf numFmtId="1" fontId="0" fillId="0" borderId="0" xfId="1" applyNumberFormat="1" applyFont="1"/>
    <xf numFmtId="9" fontId="0" fillId="0" borderId="0" xfId="1" applyFont="1"/>
    <xf numFmtId="10" fontId="0" fillId="0" borderId="0" xfId="2" applyNumberFormat="1" applyFont="1"/>
    <xf numFmtId="9" fontId="0" fillId="0" borderId="0" xfId="0" applyNumberFormat="1"/>
    <xf numFmtId="10" fontId="0" fillId="0" borderId="0" xfId="0" applyNumberFormat="1"/>
    <xf numFmtId="1" fontId="0" fillId="0" borderId="2" xfId="0" applyNumberFormat="1" applyBorder="1"/>
    <xf numFmtId="37" fontId="2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0" fontId="0" fillId="2" borderId="0" xfId="0" applyFill="1" applyAlignment="1">
      <alignment horizontal="center"/>
    </xf>
    <xf numFmtId="166" fontId="0" fillId="0" borderId="0" xfId="0" applyNumberFormat="1"/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1161-5B44-4F4A-A6DE-533400DA3B41}">
  <dimension ref="A1:G42"/>
  <sheetViews>
    <sheetView topLeftCell="A15" workbookViewId="0">
      <selection activeCell="B33" sqref="B33"/>
    </sheetView>
  </sheetViews>
  <sheetFormatPr baseColWidth="10" defaultRowHeight="16" x14ac:dyDescent="0.2"/>
  <cols>
    <col min="2" max="2" width="45.6640625" bestFit="1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53</v>
      </c>
    </row>
    <row r="5" spans="1:7" x14ac:dyDescent="0.2">
      <c r="A5" t="s">
        <v>4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</row>
    <row r="9" spans="1:7" x14ac:dyDescent="0.2">
      <c r="A9" t="s">
        <v>1</v>
      </c>
    </row>
    <row r="10" spans="1:7" x14ac:dyDescent="0.2">
      <c r="B10" t="s">
        <v>8</v>
      </c>
    </row>
    <row r="11" spans="1:7" x14ac:dyDescent="0.2">
      <c r="B11" t="s">
        <v>54</v>
      </c>
    </row>
    <row r="12" spans="1:7" x14ac:dyDescent="0.2">
      <c r="B12" t="s">
        <v>55</v>
      </c>
    </row>
    <row r="13" spans="1:7" x14ac:dyDescent="0.2">
      <c r="B13" t="s">
        <v>56</v>
      </c>
      <c r="C13" t="s">
        <v>57</v>
      </c>
      <c r="D13" t="s">
        <v>1</v>
      </c>
    </row>
    <row r="14" spans="1:7" x14ac:dyDescent="0.2">
      <c r="B14" t="s">
        <v>1</v>
      </c>
      <c r="C14">
        <v>2026</v>
      </c>
      <c r="D14">
        <v>2025</v>
      </c>
      <c r="E14">
        <v>2024</v>
      </c>
      <c r="F14" s="1">
        <v>2023</v>
      </c>
      <c r="G14" s="1">
        <v>2022</v>
      </c>
    </row>
    <row r="15" spans="1:7" x14ac:dyDescent="0.2">
      <c r="B15" t="s">
        <v>58</v>
      </c>
      <c r="F15" s="2"/>
      <c r="G15" s="2"/>
    </row>
    <row r="16" spans="1:7" x14ac:dyDescent="0.2">
      <c r="B16" t="s">
        <v>59</v>
      </c>
      <c r="C16">
        <v>39388</v>
      </c>
      <c r="D16">
        <v>35679</v>
      </c>
      <c r="E16">
        <v>32537</v>
      </c>
      <c r="F16" s="3">
        <v>29021</v>
      </c>
      <c r="G16" s="3">
        <v>24657</v>
      </c>
    </row>
    <row r="17" spans="2:7" x14ac:dyDescent="0.2">
      <c r="B17" t="s">
        <v>60</v>
      </c>
      <c r="C17">
        <v>2137</v>
      </c>
      <c r="D17">
        <v>2216</v>
      </c>
      <c r="E17">
        <v>2320</v>
      </c>
      <c r="F17" s="4">
        <v>2331</v>
      </c>
      <c r="G17" s="4">
        <v>1835</v>
      </c>
    </row>
    <row r="18" spans="2:7" x14ac:dyDescent="0.2">
      <c r="B18" t="s">
        <v>61</v>
      </c>
      <c r="C18">
        <v>41525</v>
      </c>
      <c r="D18">
        <v>37895</v>
      </c>
      <c r="E18">
        <v>34857</v>
      </c>
      <c r="F18" s="4">
        <v>31352</v>
      </c>
      <c r="G18" s="4">
        <v>26492</v>
      </c>
    </row>
    <row r="19" spans="2:7" x14ac:dyDescent="0.2">
      <c r="B19" t="s">
        <v>62</v>
      </c>
      <c r="F19" s="2"/>
      <c r="G19" s="2"/>
    </row>
    <row r="20" spans="2:7" x14ac:dyDescent="0.2">
      <c r="B20" t="s">
        <v>59</v>
      </c>
      <c r="C20">
        <v>6796</v>
      </c>
      <c r="D20">
        <v>6198</v>
      </c>
      <c r="E20">
        <v>6177</v>
      </c>
      <c r="F20" s="4">
        <v>5821</v>
      </c>
      <c r="G20" s="4">
        <v>5059</v>
      </c>
    </row>
    <row r="21" spans="2:7" x14ac:dyDescent="0.2">
      <c r="B21" t="s">
        <v>60</v>
      </c>
      <c r="C21">
        <v>2474</v>
      </c>
      <c r="D21">
        <v>2445</v>
      </c>
      <c r="E21">
        <v>2364</v>
      </c>
      <c r="F21" s="4">
        <v>2539</v>
      </c>
      <c r="G21" s="4">
        <v>1967</v>
      </c>
    </row>
    <row r="22" spans="2:7" x14ac:dyDescent="0.2">
      <c r="B22" t="s">
        <v>63</v>
      </c>
      <c r="C22">
        <v>9270</v>
      </c>
      <c r="D22">
        <v>8643</v>
      </c>
      <c r="E22">
        <v>8541</v>
      </c>
      <c r="F22" s="4">
        <v>8360</v>
      </c>
      <c r="G22" s="4">
        <v>7026</v>
      </c>
    </row>
    <row r="23" spans="2:7" x14ac:dyDescent="0.2">
      <c r="B23" t="s">
        <v>64</v>
      </c>
      <c r="C23">
        <v>32255</v>
      </c>
      <c r="D23">
        <v>29252</v>
      </c>
      <c r="E23">
        <v>26316</v>
      </c>
      <c r="F23" s="4">
        <v>22992</v>
      </c>
      <c r="G23" s="4">
        <v>19466</v>
      </c>
    </row>
    <row r="24" spans="2:7" x14ac:dyDescent="0.2">
      <c r="B24" t="s">
        <v>65</v>
      </c>
      <c r="F24" s="2"/>
      <c r="G24" s="2"/>
    </row>
    <row r="25" spans="2:7" x14ac:dyDescent="0.2">
      <c r="B25" t="s">
        <v>66</v>
      </c>
      <c r="C25">
        <v>5993</v>
      </c>
      <c r="D25">
        <v>5493</v>
      </c>
      <c r="E25">
        <v>4906</v>
      </c>
      <c r="F25" s="4">
        <v>5055</v>
      </c>
      <c r="G25" s="4">
        <v>4465</v>
      </c>
    </row>
    <row r="26" spans="2:7" x14ac:dyDescent="0.2">
      <c r="B26" t="s">
        <v>67</v>
      </c>
      <c r="C26">
        <v>14345</v>
      </c>
      <c r="D26">
        <v>13257</v>
      </c>
      <c r="E26">
        <v>12877</v>
      </c>
      <c r="F26" s="4">
        <v>13526</v>
      </c>
      <c r="G26" s="4">
        <v>11855</v>
      </c>
    </row>
    <row r="27" spans="2:7" x14ac:dyDescent="0.2">
      <c r="B27" t="s">
        <v>68</v>
      </c>
      <c r="C27">
        <v>3000</v>
      </c>
      <c r="D27">
        <v>2836</v>
      </c>
      <c r="E27">
        <v>2534</v>
      </c>
      <c r="F27" s="4">
        <v>2553</v>
      </c>
      <c r="G27" s="4">
        <v>2598</v>
      </c>
    </row>
    <row r="28" spans="2:7" x14ac:dyDescent="0.2">
      <c r="B28" t="s">
        <v>69</v>
      </c>
      <c r="C28">
        <v>586</v>
      </c>
      <c r="D28">
        <v>461</v>
      </c>
      <c r="E28">
        <v>988</v>
      </c>
      <c r="F28" s="4">
        <v>828</v>
      </c>
      <c r="G28" s="4">
        <v>0</v>
      </c>
    </row>
    <row r="29" spans="2:7" x14ac:dyDescent="0.2">
      <c r="F29" s="2"/>
      <c r="G29" s="2"/>
    </row>
    <row r="30" spans="2:7" x14ac:dyDescent="0.2">
      <c r="B30" t="s">
        <v>70</v>
      </c>
      <c r="C30">
        <v>23924</v>
      </c>
      <c r="D30">
        <v>22047</v>
      </c>
      <c r="E30">
        <v>21305</v>
      </c>
      <c r="F30" s="4">
        <v>21962</v>
      </c>
      <c r="G30" s="4">
        <v>18918</v>
      </c>
    </row>
    <row r="31" spans="2:7" x14ac:dyDescent="0.2">
      <c r="B31" t="s">
        <v>71</v>
      </c>
      <c r="C31">
        <v>8331</v>
      </c>
      <c r="D31">
        <v>7205</v>
      </c>
      <c r="E31">
        <v>5011</v>
      </c>
      <c r="F31" s="4">
        <v>1030</v>
      </c>
      <c r="G31" s="4">
        <v>548</v>
      </c>
    </row>
    <row r="32" spans="2:7" x14ac:dyDescent="0.2">
      <c r="F32" s="2"/>
      <c r="G32" s="2"/>
    </row>
    <row r="33" spans="2:7" x14ac:dyDescent="0.2">
      <c r="B33" t="s">
        <v>72</v>
      </c>
      <c r="C33">
        <v>1017</v>
      </c>
      <c r="D33">
        <v>-121</v>
      </c>
      <c r="E33">
        <v>-277</v>
      </c>
      <c r="F33" s="4">
        <v>-239</v>
      </c>
      <c r="G33" s="4">
        <v>1211</v>
      </c>
    </row>
    <row r="34" spans="2:7" x14ac:dyDescent="0.2">
      <c r="B34" t="s">
        <v>73</v>
      </c>
      <c r="C34">
        <v>172</v>
      </c>
      <c r="D34">
        <v>354</v>
      </c>
      <c r="E34">
        <v>216</v>
      </c>
      <c r="F34" s="4">
        <v>-131</v>
      </c>
      <c r="G34" s="4">
        <v>-227</v>
      </c>
    </row>
    <row r="35" spans="2:7" x14ac:dyDescent="0.2">
      <c r="B35" t="s">
        <v>74</v>
      </c>
      <c r="C35">
        <v>9520</v>
      </c>
      <c r="D35">
        <v>7438</v>
      </c>
      <c r="E35">
        <v>4950</v>
      </c>
      <c r="F35" s="4">
        <v>660</v>
      </c>
      <c r="G35" s="4">
        <v>1532</v>
      </c>
    </row>
    <row r="36" spans="2:7" x14ac:dyDescent="0.2">
      <c r="B36" t="s">
        <v>75</v>
      </c>
      <c r="C36">
        <v>-2063</v>
      </c>
      <c r="D36">
        <v>-1241</v>
      </c>
      <c r="E36">
        <v>-814</v>
      </c>
      <c r="F36" s="4">
        <v>-452</v>
      </c>
      <c r="G36" s="4">
        <v>-88</v>
      </c>
    </row>
    <row r="37" spans="2:7" x14ac:dyDescent="0.2">
      <c r="B37" t="s">
        <v>76</v>
      </c>
      <c r="C37" s="11">
        <v>7457</v>
      </c>
      <c r="D37" s="11">
        <v>6197</v>
      </c>
      <c r="E37" s="11">
        <v>4136</v>
      </c>
      <c r="F37" s="19">
        <v>208</v>
      </c>
      <c r="G37" s="19">
        <v>1444</v>
      </c>
    </row>
    <row r="38" spans="2:7" x14ac:dyDescent="0.2">
      <c r="F38" s="2"/>
      <c r="G38" s="2"/>
    </row>
    <row r="39" spans="2:7" x14ac:dyDescent="0.2">
      <c r="B39" t="s">
        <v>77</v>
      </c>
      <c r="C39">
        <v>7.85</v>
      </c>
      <c r="D39">
        <v>6.44</v>
      </c>
      <c r="E39">
        <v>4.25</v>
      </c>
      <c r="F39" s="5">
        <v>0.21</v>
      </c>
      <c r="G39" s="5">
        <v>1.51</v>
      </c>
    </row>
    <row r="40" spans="2:7" x14ac:dyDescent="0.2">
      <c r="B40" t="s">
        <v>78</v>
      </c>
      <c r="C40">
        <v>7.8</v>
      </c>
      <c r="D40">
        <v>6.36</v>
      </c>
      <c r="E40">
        <v>4.2</v>
      </c>
      <c r="F40" s="5">
        <v>0.21</v>
      </c>
      <c r="G40" s="5">
        <v>1.48</v>
      </c>
    </row>
    <row r="41" spans="2:7" x14ac:dyDescent="0.2">
      <c r="B41" t="s">
        <v>79</v>
      </c>
      <c r="C41">
        <v>950</v>
      </c>
      <c r="D41">
        <v>962</v>
      </c>
      <c r="E41">
        <v>974</v>
      </c>
      <c r="F41" s="4">
        <v>992</v>
      </c>
      <c r="G41" s="4">
        <v>955</v>
      </c>
    </row>
    <row r="42" spans="2:7" x14ac:dyDescent="0.2">
      <c r="B42" t="s">
        <v>80</v>
      </c>
      <c r="C42">
        <v>956</v>
      </c>
      <c r="D42">
        <v>974</v>
      </c>
      <c r="E42">
        <v>984</v>
      </c>
      <c r="F42" s="4">
        <v>997</v>
      </c>
      <c r="G42" s="4">
        <v>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EA30-4563-6845-A66A-65A9D7B1E228}">
  <dimension ref="A1:G60"/>
  <sheetViews>
    <sheetView topLeftCell="A14" workbookViewId="0">
      <selection activeCell="B25" sqref="B25:B26"/>
    </sheetView>
  </sheetViews>
  <sheetFormatPr baseColWidth="10" defaultRowHeight="16" x14ac:dyDescent="0.2"/>
  <cols>
    <col min="2" max="2" width="57.1640625" bestFit="1" customWidth="1"/>
    <col min="3" max="4" width="14.1640625" bestFit="1" customWidth="1"/>
    <col min="5" max="6" width="14.83203125" bestFit="1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3</v>
      </c>
    </row>
    <row r="5" spans="1:7" x14ac:dyDescent="0.2">
      <c r="A5" t="s">
        <v>4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</row>
    <row r="9" spans="1:7" x14ac:dyDescent="0.2">
      <c r="A9" t="s">
        <v>1</v>
      </c>
    </row>
    <row r="10" spans="1:7" x14ac:dyDescent="0.2">
      <c r="B10" t="s">
        <v>8</v>
      </c>
    </row>
    <row r="11" spans="1:7" x14ac:dyDescent="0.2">
      <c r="B11" t="s">
        <v>9</v>
      </c>
    </row>
    <row r="12" spans="1:7" x14ac:dyDescent="0.2">
      <c r="B12" t="s">
        <v>10</v>
      </c>
    </row>
    <row r="13" spans="1:7" x14ac:dyDescent="0.2">
      <c r="B13" t="s">
        <v>1</v>
      </c>
    </row>
    <row r="14" spans="1:7" x14ac:dyDescent="0.2">
      <c r="B14" t="s">
        <v>1</v>
      </c>
      <c r="C14" t="s">
        <v>122</v>
      </c>
      <c r="D14" t="s">
        <v>123</v>
      </c>
      <c r="E14" s="1" t="s">
        <v>120</v>
      </c>
      <c r="F14" s="1" t="s">
        <v>121</v>
      </c>
      <c r="G14" s="1" t="s">
        <v>126</v>
      </c>
    </row>
    <row r="15" spans="1:7" x14ac:dyDescent="0.2">
      <c r="E15" s="2"/>
      <c r="F15" s="2"/>
      <c r="G15" s="2"/>
    </row>
    <row r="16" spans="1:7" x14ac:dyDescent="0.2">
      <c r="B16" t="s">
        <v>12</v>
      </c>
      <c r="E16" s="2"/>
      <c r="F16" s="2"/>
      <c r="G16" s="2"/>
    </row>
    <row r="17" spans="2:7" x14ac:dyDescent="0.2">
      <c r="B17" t="s">
        <v>13</v>
      </c>
      <c r="E17" s="2"/>
      <c r="F17" s="2"/>
      <c r="G17" s="2"/>
    </row>
    <row r="18" spans="2:7" x14ac:dyDescent="0.2">
      <c r="B18" t="s">
        <v>14</v>
      </c>
      <c r="C18">
        <v>7327</v>
      </c>
      <c r="D18">
        <v>8848</v>
      </c>
      <c r="E18" s="3">
        <v>8472</v>
      </c>
      <c r="F18" s="3">
        <v>7016</v>
      </c>
      <c r="G18" s="3">
        <v>5464</v>
      </c>
    </row>
    <row r="19" spans="2:7" x14ac:dyDescent="0.2">
      <c r="B19" t="s">
        <v>15</v>
      </c>
      <c r="C19">
        <v>2238</v>
      </c>
      <c r="D19">
        <v>5184</v>
      </c>
      <c r="E19" s="4">
        <v>5722</v>
      </c>
      <c r="F19" s="4">
        <v>5492</v>
      </c>
      <c r="G19" s="4">
        <v>5073</v>
      </c>
    </row>
    <row r="20" spans="2:7" x14ac:dyDescent="0.2">
      <c r="B20" t="s">
        <v>16</v>
      </c>
      <c r="C20">
        <v>14339</v>
      </c>
      <c r="D20">
        <v>11945</v>
      </c>
      <c r="E20" s="4">
        <v>11414</v>
      </c>
      <c r="F20" s="4">
        <v>10755</v>
      </c>
      <c r="G20" s="4">
        <v>9739</v>
      </c>
    </row>
    <row r="21" spans="2:7" x14ac:dyDescent="0.2">
      <c r="B21" t="s">
        <v>17</v>
      </c>
      <c r="C21">
        <v>2075</v>
      </c>
      <c r="D21">
        <v>1971</v>
      </c>
      <c r="E21" s="4">
        <v>1905</v>
      </c>
      <c r="F21" s="4">
        <v>1776</v>
      </c>
      <c r="G21" s="4">
        <v>1454</v>
      </c>
    </row>
    <row r="22" spans="2:7" x14ac:dyDescent="0.2">
      <c r="B22" t="s">
        <v>18</v>
      </c>
      <c r="C22">
        <v>2243</v>
      </c>
      <c r="D22">
        <v>1779</v>
      </c>
      <c r="E22" s="4">
        <v>1561</v>
      </c>
      <c r="F22" s="4">
        <v>1356</v>
      </c>
      <c r="G22" s="4">
        <v>1120</v>
      </c>
    </row>
    <row r="23" spans="2:7" x14ac:dyDescent="0.2">
      <c r="B23" t="s">
        <v>19</v>
      </c>
      <c r="C23">
        <v>28222</v>
      </c>
      <c r="D23">
        <v>29727</v>
      </c>
      <c r="E23" s="4">
        <v>29074</v>
      </c>
      <c r="F23" s="4">
        <v>26395</v>
      </c>
      <c r="G23" s="4">
        <v>22850</v>
      </c>
    </row>
    <row r="24" spans="2:7" x14ac:dyDescent="0.2">
      <c r="B24" t="s">
        <v>20</v>
      </c>
      <c r="C24">
        <v>3120</v>
      </c>
      <c r="D24">
        <v>3236</v>
      </c>
      <c r="E24" s="4">
        <v>3689</v>
      </c>
      <c r="F24" s="4">
        <v>3702</v>
      </c>
      <c r="G24" s="4">
        <v>2815</v>
      </c>
    </row>
    <row r="25" spans="2:7" x14ac:dyDescent="0.2">
      <c r="B25" t="s">
        <v>21</v>
      </c>
      <c r="C25">
        <v>2003</v>
      </c>
      <c r="D25">
        <v>2157</v>
      </c>
      <c r="E25" s="4">
        <v>2366</v>
      </c>
      <c r="F25" s="4">
        <v>2890</v>
      </c>
      <c r="G25" s="4">
        <v>2880</v>
      </c>
    </row>
    <row r="26" spans="2:7" x14ac:dyDescent="0.2">
      <c r="B26" t="s">
        <v>22</v>
      </c>
      <c r="C26">
        <v>2985</v>
      </c>
      <c r="D26">
        <v>2475</v>
      </c>
      <c r="E26" s="4">
        <v>2515</v>
      </c>
      <c r="F26" s="4">
        <v>2697</v>
      </c>
      <c r="G26" s="4">
        <v>2342</v>
      </c>
    </row>
    <row r="27" spans="2:7" x14ac:dyDescent="0.2">
      <c r="E27" s="2"/>
      <c r="F27" s="2"/>
      <c r="G27" s="2"/>
    </row>
    <row r="28" spans="2:7" x14ac:dyDescent="0.2">
      <c r="B28" t="s">
        <v>23</v>
      </c>
      <c r="C28">
        <v>7591</v>
      </c>
      <c r="D28">
        <v>4852</v>
      </c>
      <c r="E28" s="4">
        <v>4848</v>
      </c>
      <c r="F28" s="4">
        <v>4672</v>
      </c>
      <c r="G28" s="4">
        <v>4784</v>
      </c>
    </row>
    <row r="29" spans="2:7" x14ac:dyDescent="0.2">
      <c r="B29" t="s">
        <v>24</v>
      </c>
      <c r="C29">
        <v>57941</v>
      </c>
      <c r="D29">
        <v>51283</v>
      </c>
      <c r="E29" s="4">
        <v>48620</v>
      </c>
      <c r="F29" s="4">
        <v>48568</v>
      </c>
      <c r="G29" s="4">
        <v>47937</v>
      </c>
    </row>
    <row r="30" spans="2:7" x14ac:dyDescent="0.2">
      <c r="B30" t="s">
        <v>25</v>
      </c>
      <c r="C30">
        <v>6815</v>
      </c>
      <c r="D30">
        <v>4428</v>
      </c>
      <c r="E30" s="4">
        <v>5278</v>
      </c>
      <c r="F30" s="4">
        <v>7125</v>
      </c>
      <c r="G30" s="4">
        <v>8978</v>
      </c>
    </row>
    <row r="31" spans="2:7" x14ac:dyDescent="0.2">
      <c r="B31" t="s">
        <v>26</v>
      </c>
      <c r="C31">
        <v>3628</v>
      </c>
      <c r="D31">
        <v>4770</v>
      </c>
      <c r="E31" s="4">
        <v>3433</v>
      </c>
      <c r="F31" s="4">
        <v>2800</v>
      </c>
      <c r="G31" s="4">
        <v>2623</v>
      </c>
    </row>
    <row r="32" spans="2:7" x14ac:dyDescent="0.2">
      <c r="B32" t="s">
        <v>27</v>
      </c>
      <c r="C32">
        <v>112305</v>
      </c>
      <c r="D32">
        <v>102928</v>
      </c>
      <c r="E32" s="3">
        <v>99823</v>
      </c>
      <c r="F32" s="3">
        <v>98849</v>
      </c>
      <c r="G32" s="3">
        <v>95209</v>
      </c>
    </row>
    <row r="33" spans="2:7" x14ac:dyDescent="0.2">
      <c r="B33" t="s">
        <v>28</v>
      </c>
      <c r="E33" s="2"/>
      <c r="F33" s="2"/>
      <c r="G33" s="2"/>
    </row>
    <row r="34" spans="2:7" x14ac:dyDescent="0.2">
      <c r="B34" t="s">
        <v>29</v>
      </c>
      <c r="E34" s="2"/>
      <c r="F34" s="2"/>
      <c r="G34" s="2"/>
    </row>
    <row r="35" spans="2:7" x14ac:dyDescent="0.2">
      <c r="B35" t="s">
        <v>30</v>
      </c>
      <c r="C35">
        <v>8253</v>
      </c>
      <c r="D35">
        <v>6658</v>
      </c>
      <c r="E35" s="3">
        <v>6111</v>
      </c>
      <c r="F35" s="3">
        <v>6743</v>
      </c>
      <c r="G35" s="3">
        <v>5470</v>
      </c>
    </row>
    <row r="36" spans="2:7" x14ac:dyDescent="0.2">
      <c r="B36" t="s">
        <v>31</v>
      </c>
      <c r="C36">
        <v>548</v>
      </c>
      <c r="D36">
        <v>579</v>
      </c>
      <c r="E36" s="4">
        <v>518</v>
      </c>
      <c r="F36" s="4">
        <v>590</v>
      </c>
      <c r="G36" s="4">
        <v>686</v>
      </c>
    </row>
    <row r="37" spans="2:7" x14ac:dyDescent="0.2">
      <c r="B37" t="s">
        <v>32</v>
      </c>
      <c r="C37">
        <v>24317</v>
      </c>
      <c r="D37">
        <v>20743</v>
      </c>
      <c r="E37" s="4">
        <v>19003</v>
      </c>
      <c r="F37" s="4">
        <v>17376</v>
      </c>
      <c r="G37" s="4">
        <v>15628</v>
      </c>
    </row>
    <row r="38" spans="2:7" x14ac:dyDescent="0.2">
      <c r="E38" s="2"/>
      <c r="F38" s="2"/>
      <c r="G38" s="2"/>
    </row>
    <row r="39" spans="2:7" x14ac:dyDescent="0.2">
      <c r="B39" t="s">
        <v>33</v>
      </c>
      <c r="C39">
        <v>4000</v>
      </c>
      <c r="D39">
        <v>0</v>
      </c>
      <c r="E39" s="4">
        <v>999</v>
      </c>
      <c r="F39" s="4">
        <v>1182</v>
      </c>
      <c r="G39" s="4">
        <v>4</v>
      </c>
    </row>
    <row r="40" spans="2:7" x14ac:dyDescent="0.2">
      <c r="B40" t="s">
        <v>34</v>
      </c>
      <c r="C40">
        <v>37118</v>
      </c>
      <c r="D40">
        <v>27980</v>
      </c>
      <c r="E40" s="4">
        <v>26631</v>
      </c>
      <c r="F40" s="4">
        <v>25891</v>
      </c>
      <c r="G40" s="4">
        <v>21788</v>
      </c>
    </row>
    <row r="41" spans="2:7" x14ac:dyDescent="0.2">
      <c r="B41" t="s">
        <v>35</v>
      </c>
      <c r="C41">
        <v>10439</v>
      </c>
      <c r="D41">
        <v>8433</v>
      </c>
      <c r="E41" s="4">
        <v>8427</v>
      </c>
      <c r="F41" s="4">
        <v>9419</v>
      </c>
      <c r="G41" s="4">
        <v>10592</v>
      </c>
    </row>
    <row r="42" spans="2:7" x14ac:dyDescent="0.2">
      <c r="B42" t="s">
        <v>36</v>
      </c>
      <c r="C42">
        <v>2189</v>
      </c>
      <c r="D42">
        <v>2380</v>
      </c>
      <c r="E42" s="4">
        <v>2644</v>
      </c>
      <c r="F42" s="4">
        <v>2897</v>
      </c>
      <c r="G42" s="4">
        <v>2703</v>
      </c>
    </row>
    <row r="43" spans="2:7" x14ac:dyDescent="0.2">
      <c r="B43" t="s">
        <v>37</v>
      </c>
      <c r="C43">
        <v>3417</v>
      </c>
      <c r="D43">
        <v>2962</v>
      </c>
      <c r="E43" s="4">
        <v>2475</v>
      </c>
      <c r="F43" s="4">
        <v>2283</v>
      </c>
      <c r="G43" s="4">
        <v>1995</v>
      </c>
    </row>
    <row r="44" spans="2:7" x14ac:dyDescent="0.2">
      <c r="B44" t="s">
        <v>38</v>
      </c>
      <c r="C44">
        <v>53163</v>
      </c>
      <c r="D44">
        <v>41755</v>
      </c>
      <c r="E44" s="4">
        <v>40177</v>
      </c>
      <c r="F44" s="4">
        <v>40490</v>
      </c>
      <c r="G44" s="4">
        <v>37078</v>
      </c>
    </row>
    <row r="45" spans="2:7" x14ac:dyDescent="0.2">
      <c r="B45" t="s">
        <v>39</v>
      </c>
      <c r="E45" s="2"/>
      <c r="F45" s="2"/>
      <c r="G45" s="2"/>
    </row>
    <row r="46" spans="2:7" x14ac:dyDescent="0.2">
      <c r="B46" t="s">
        <v>40</v>
      </c>
      <c r="E46" s="2"/>
      <c r="F46" s="2"/>
      <c r="G46" s="2"/>
    </row>
    <row r="47" spans="2:7" x14ac:dyDescent="0.2">
      <c r="B47" t="s">
        <v>41</v>
      </c>
      <c r="E47" s="2"/>
      <c r="F47" s="2"/>
      <c r="G47" s="2"/>
    </row>
    <row r="48" spans="2:7" x14ac:dyDescent="0.2">
      <c r="B48" t="s">
        <v>42</v>
      </c>
      <c r="C48">
        <v>0</v>
      </c>
      <c r="D48">
        <v>0</v>
      </c>
      <c r="E48" s="4">
        <v>0</v>
      </c>
      <c r="F48" s="4">
        <v>0</v>
      </c>
      <c r="G48" s="4">
        <v>0</v>
      </c>
    </row>
    <row r="49" spans="2:7" x14ac:dyDescent="0.2">
      <c r="B49" t="s">
        <v>43</v>
      </c>
      <c r="E49" s="2"/>
      <c r="F49" s="2"/>
      <c r="G49" s="2"/>
    </row>
    <row r="50" spans="2:7" x14ac:dyDescent="0.2">
      <c r="B50" t="s">
        <v>44</v>
      </c>
      <c r="E50" s="2"/>
      <c r="F50" s="2"/>
      <c r="G50" s="2"/>
    </row>
    <row r="51" spans="2:7" x14ac:dyDescent="0.2">
      <c r="B51" t="s">
        <v>45</v>
      </c>
      <c r="E51" s="2"/>
      <c r="F51" s="2"/>
    </row>
    <row r="52" spans="2:7" x14ac:dyDescent="0.2">
      <c r="B52" t="s">
        <v>46</v>
      </c>
      <c r="C52">
        <v>1</v>
      </c>
      <c r="D52">
        <v>1</v>
      </c>
      <c r="E52" s="4">
        <v>1</v>
      </c>
      <c r="F52" s="4">
        <v>1</v>
      </c>
      <c r="G52" s="4">
        <v>1</v>
      </c>
    </row>
    <row r="53" spans="2:7" x14ac:dyDescent="0.2">
      <c r="E53" s="2"/>
      <c r="F53" s="2"/>
      <c r="G53" s="2"/>
    </row>
    <row r="54" spans="2:7" x14ac:dyDescent="0.2">
      <c r="B54" t="s">
        <v>47</v>
      </c>
      <c r="C54">
        <v>-32228</v>
      </c>
      <c r="D54">
        <v>-19507</v>
      </c>
      <c r="E54" s="4">
        <v>-11692</v>
      </c>
      <c r="F54" s="4">
        <v>-4000</v>
      </c>
      <c r="G54" s="4">
        <v>0</v>
      </c>
    </row>
    <row r="55" spans="2:7" x14ac:dyDescent="0.2">
      <c r="B55" t="s">
        <v>48</v>
      </c>
      <c r="C55">
        <v>68835</v>
      </c>
      <c r="D55">
        <v>64576</v>
      </c>
      <c r="E55" s="4">
        <v>59841</v>
      </c>
      <c r="F55" s="4">
        <v>55047</v>
      </c>
      <c r="G55" s="4">
        <v>50919</v>
      </c>
    </row>
    <row r="56" spans="2:7" x14ac:dyDescent="0.2">
      <c r="B56" t="s">
        <v>49</v>
      </c>
      <c r="C56">
        <v>313</v>
      </c>
      <c r="D56">
        <v>-266</v>
      </c>
      <c r="E56" s="4">
        <v>-225</v>
      </c>
      <c r="F56" s="4">
        <v>-274</v>
      </c>
      <c r="G56" s="4">
        <v>-166</v>
      </c>
    </row>
    <row r="57" spans="2:7" x14ac:dyDescent="0.2">
      <c r="B57" t="s">
        <v>50</v>
      </c>
      <c r="C57">
        <v>22221</v>
      </c>
      <c r="D57">
        <v>16369</v>
      </c>
      <c r="E57" s="4">
        <v>11721</v>
      </c>
      <c r="F57" s="4">
        <v>7585</v>
      </c>
      <c r="G57" s="4">
        <v>7377</v>
      </c>
    </row>
    <row r="58" spans="2:7" x14ac:dyDescent="0.2">
      <c r="B58" t="s">
        <v>51</v>
      </c>
      <c r="C58">
        <v>59142</v>
      </c>
      <c r="D58">
        <v>61173</v>
      </c>
      <c r="E58" s="4">
        <v>59646</v>
      </c>
      <c r="F58" s="4">
        <v>58359</v>
      </c>
      <c r="G58" s="4">
        <v>58131</v>
      </c>
    </row>
    <row r="59" spans="2:7" x14ac:dyDescent="0.2">
      <c r="B59" t="s">
        <v>52</v>
      </c>
      <c r="C59">
        <v>112305</v>
      </c>
      <c r="D59">
        <v>102928</v>
      </c>
      <c r="E59" s="3">
        <v>99823</v>
      </c>
      <c r="F59" s="3">
        <v>98849</v>
      </c>
      <c r="G59" s="3">
        <v>95209</v>
      </c>
    </row>
    <row r="60" spans="2:7" x14ac:dyDescent="0.2">
      <c r="E60" s="2"/>
      <c r="F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C1D4-57ED-1048-8C5E-17B2BBAD42D5}">
  <dimension ref="A1:G60"/>
  <sheetViews>
    <sheetView topLeftCell="A16" workbookViewId="0">
      <selection activeCell="G37" sqref="G37:G43"/>
    </sheetView>
  </sheetViews>
  <sheetFormatPr baseColWidth="10" defaultRowHeight="16" x14ac:dyDescent="0.2"/>
  <cols>
    <col min="1" max="1" width="10.83203125" customWidth="1"/>
    <col min="2" max="2" width="50.5" bestFit="1" customWidth="1"/>
    <col min="3" max="3" width="13.1640625" customWidth="1"/>
    <col min="4" max="4" width="11.33203125" customWidth="1"/>
    <col min="5" max="5" width="10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81</v>
      </c>
    </row>
    <row r="5" spans="1:7" x14ac:dyDescent="0.2">
      <c r="A5" t="s">
        <v>4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</row>
    <row r="9" spans="1:7" x14ac:dyDescent="0.2">
      <c r="A9" t="s">
        <v>1</v>
      </c>
    </row>
    <row r="10" spans="1:7" x14ac:dyDescent="0.2">
      <c r="B10" t="s">
        <v>8</v>
      </c>
    </row>
    <row r="11" spans="1:7" x14ac:dyDescent="0.2">
      <c r="B11" t="s">
        <v>82</v>
      </c>
    </row>
    <row r="12" spans="1:7" x14ac:dyDescent="0.2">
      <c r="B12" t="s">
        <v>10</v>
      </c>
      <c r="C12" t="s">
        <v>213</v>
      </c>
    </row>
    <row r="13" spans="1:7" x14ac:dyDescent="0.2">
      <c r="B13" t="s">
        <v>56</v>
      </c>
      <c r="C13" t="s">
        <v>11</v>
      </c>
      <c r="D13" t="s">
        <v>1</v>
      </c>
    </row>
    <row r="14" spans="1:7" x14ac:dyDescent="0.2">
      <c r="B14" t="s">
        <v>1</v>
      </c>
      <c r="C14">
        <v>2026</v>
      </c>
      <c r="D14">
        <v>2025</v>
      </c>
      <c r="E14">
        <v>2024</v>
      </c>
      <c r="F14" s="1">
        <v>2023</v>
      </c>
      <c r="G14" s="1">
        <v>2022</v>
      </c>
    </row>
    <row r="15" spans="1:7" x14ac:dyDescent="0.2">
      <c r="B15" t="s">
        <v>83</v>
      </c>
      <c r="F15" s="2"/>
      <c r="G15" s="2"/>
    </row>
    <row r="16" spans="1:7" x14ac:dyDescent="0.2">
      <c r="B16" t="s">
        <v>76</v>
      </c>
      <c r="C16">
        <v>7457</v>
      </c>
      <c r="D16">
        <v>6197</v>
      </c>
      <c r="E16">
        <v>4136</v>
      </c>
      <c r="F16" s="3">
        <v>208</v>
      </c>
      <c r="G16" s="3">
        <v>1444</v>
      </c>
    </row>
    <row r="17" spans="2:7" x14ac:dyDescent="0.2">
      <c r="B17" t="s">
        <v>84</v>
      </c>
      <c r="F17" s="2"/>
      <c r="G17" s="2"/>
    </row>
    <row r="18" spans="2:7" x14ac:dyDescent="0.2">
      <c r="B18" t="s">
        <v>85</v>
      </c>
      <c r="F18" s="2"/>
      <c r="G18" s="2"/>
    </row>
    <row r="19" spans="2:7" x14ac:dyDescent="0.2">
      <c r="B19" t="s">
        <v>86</v>
      </c>
      <c r="C19">
        <v>3631</v>
      </c>
      <c r="D19">
        <v>3477</v>
      </c>
      <c r="E19">
        <v>3959</v>
      </c>
      <c r="F19" s="4">
        <v>3786</v>
      </c>
      <c r="G19" s="4">
        <v>3298</v>
      </c>
    </row>
    <row r="20" spans="2:7" x14ac:dyDescent="0.2">
      <c r="B20" t="s">
        <v>87</v>
      </c>
      <c r="F20" s="2"/>
      <c r="G20" s="2"/>
    </row>
    <row r="21" spans="2:7" x14ac:dyDescent="0.2">
      <c r="B21" t="s">
        <v>88</v>
      </c>
      <c r="C21">
        <v>2197</v>
      </c>
      <c r="D21">
        <v>2095</v>
      </c>
      <c r="E21">
        <v>1925</v>
      </c>
      <c r="F21" s="4">
        <v>1668</v>
      </c>
      <c r="G21" s="4">
        <v>1348</v>
      </c>
    </row>
    <row r="22" spans="2:7" x14ac:dyDescent="0.2">
      <c r="B22" t="s">
        <v>89</v>
      </c>
      <c r="C22">
        <v>3509</v>
      </c>
      <c r="D22">
        <v>3183</v>
      </c>
      <c r="E22">
        <v>2787</v>
      </c>
      <c r="F22" s="4">
        <v>3279</v>
      </c>
      <c r="G22" s="4">
        <v>2779</v>
      </c>
    </row>
    <row r="23" spans="2:7" x14ac:dyDescent="0.2">
      <c r="F23" s="2"/>
      <c r="G23" s="2"/>
    </row>
    <row r="24" spans="2:7" x14ac:dyDescent="0.2">
      <c r="B24" t="s">
        <v>90</v>
      </c>
      <c r="C24">
        <v>-1017</v>
      </c>
      <c r="D24">
        <v>121</v>
      </c>
      <c r="E24">
        <v>277</v>
      </c>
      <c r="F24" s="4">
        <v>239</v>
      </c>
      <c r="G24" s="4">
        <v>-1211</v>
      </c>
    </row>
    <row r="25" spans="2:7" x14ac:dyDescent="0.2">
      <c r="F25" s="2"/>
      <c r="G25" s="2"/>
    </row>
    <row r="26" spans="2:7" x14ac:dyDescent="0.2">
      <c r="B26" t="s">
        <v>91</v>
      </c>
      <c r="F26" s="2"/>
      <c r="G26" s="2"/>
    </row>
    <row r="27" spans="2:7" x14ac:dyDescent="0.2">
      <c r="B27" t="s">
        <v>92</v>
      </c>
      <c r="F27" s="2"/>
      <c r="G27" s="2"/>
    </row>
    <row r="28" spans="2:7" x14ac:dyDescent="0.2">
      <c r="B28" t="s">
        <v>16</v>
      </c>
      <c r="C28">
        <v>-2160</v>
      </c>
      <c r="D28">
        <v>-490</v>
      </c>
      <c r="E28">
        <v>-659</v>
      </c>
      <c r="F28" s="4">
        <v>-995</v>
      </c>
      <c r="G28" s="4">
        <v>-1824</v>
      </c>
    </row>
    <row r="29" spans="2:7" x14ac:dyDescent="0.2">
      <c r="B29" t="s">
        <v>17</v>
      </c>
      <c r="C29">
        <v>-2811</v>
      </c>
      <c r="D29">
        <v>-2121</v>
      </c>
      <c r="E29">
        <v>-1872</v>
      </c>
      <c r="F29" s="4">
        <v>-2345</v>
      </c>
      <c r="G29" s="4">
        <v>-2283</v>
      </c>
    </row>
    <row r="30" spans="2:7" x14ac:dyDescent="0.2">
      <c r="B30" t="s">
        <v>93</v>
      </c>
      <c r="C30">
        <v>819</v>
      </c>
      <c r="D30">
        <v>-1495</v>
      </c>
      <c r="E30">
        <v>-843</v>
      </c>
      <c r="F30" s="4">
        <v>-302</v>
      </c>
      <c r="G30" s="4">
        <v>114</v>
      </c>
    </row>
    <row r="31" spans="2:7" x14ac:dyDescent="0.2">
      <c r="F31" s="2"/>
      <c r="G31" s="2"/>
    </row>
    <row r="32" spans="2:7" x14ac:dyDescent="0.2">
      <c r="B32" t="s">
        <v>94</v>
      </c>
      <c r="C32">
        <v>1014</v>
      </c>
      <c r="D32">
        <v>1089</v>
      </c>
      <c r="E32">
        <v>-478</v>
      </c>
      <c r="F32" s="4">
        <v>528</v>
      </c>
      <c r="G32" s="4">
        <v>507</v>
      </c>
    </row>
    <row r="33" spans="2:7" x14ac:dyDescent="0.2">
      <c r="B33" t="s">
        <v>95</v>
      </c>
      <c r="C33">
        <v>-567</v>
      </c>
      <c r="D33">
        <v>-548</v>
      </c>
      <c r="E33">
        <v>-621</v>
      </c>
      <c r="F33" s="4">
        <v>-699</v>
      </c>
      <c r="G33" s="4">
        <v>-801</v>
      </c>
    </row>
    <row r="34" spans="2:7" x14ac:dyDescent="0.2">
      <c r="B34" t="s">
        <v>32</v>
      </c>
      <c r="C34">
        <v>2924</v>
      </c>
      <c r="D34">
        <v>1584</v>
      </c>
      <c r="E34">
        <v>1623</v>
      </c>
      <c r="F34" s="4">
        <v>1744</v>
      </c>
      <c r="G34" s="4">
        <v>2629</v>
      </c>
    </row>
    <row r="35" spans="2:7" x14ac:dyDescent="0.2">
      <c r="B35" t="s">
        <v>96</v>
      </c>
      <c r="C35" s="11">
        <v>14996</v>
      </c>
      <c r="D35" s="11">
        <v>13092</v>
      </c>
      <c r="E35" s="11">
        <v>10234</v>
      </c>
      <c r="F35" s="18">
        <v>7111</v>
      </c>
      <c r="G35" s="18">
        <v>6000</v>
      </c>
    </row>
    <row r="36" spans="2:7" x14ac:dyDescent="0.2">
      <c r="B36" t="s">
        <v>97</v>
      </c>
      <c r="F36" s="2"/>
      <c r="G36" s="2"/>
    </row>
    <row r="37" spans="2:7" x14ac:dyDescent="0.2">
      <c r="B37" t="s">
        <v>98</v>
      </c>
      <c r="C37">
        <v>-9268</v>
      </c>
      <c r="D37">
        <v>-2734</v>
      </c>
      <c r="E37">
        <v>-82</v>
      </c>
      <c r="F37" s="4">
        <v>-439</v>
      </c>
      <c r="G37" s="4">
        <v>-14876</v>
      </c>
    </row>
    <row r="38" spans="2:7" x14ac:dyDescent="0.2">
      <c r="B38" t="s">
        <v>99</v>
      </c>
      <c r="C38">
        <v>-1958</v>
      </c>
      <c r="D38">
        <v>-539</v>
      </c>
      <c r="E38">
        <v>-496</v>
      </c>
      <c r="F38" s="4">
        <v>-550</v>
      </c>
      <c r="G38" s="4">
        <v>-1718</v>
      </c>
    </row>
    <row r="39" spans="2:7" x14ac:dyDescent="0.2">
      <c r="B39" t="s">
        <v>100</v>
      </c>
      <c r="C39">
        <v>184</v>
      </c>
      <c r="D39">
        <v>126</v>
      </c>
      <c r="E39">
        <v>108</v>
      </c>
      <c r="F39" s="4">
        <v>355</v>
      </c>
      <c r="G39" s="4">
        <v>2201</v>
      </c>
    </row>
    <row r="40" spans="2:7" x14ac:dyDescent="0.2">
      <c r="B40" t="s">
        <v>101</v>
      </c>
      <c r="C40">
        <v>-3763</v>
      </c>
      <c r="D40">
        <v>-6879</v>
      </c>
      <c r="E40">
        <v>-3761</v>
      </c>
      <c r="F40" s="4">
        <v>-4777</v>
      </c>
      <c r="G40" s="4">
        <v>-5674</v>
      </c>
    </row>
    <row r="41" spans="2:7" x14ac:dyDescent="0.2">
      <c r="B41" t="s">
        <v>102</v>
      </c>
      <c r="C41">
        <v>4414</v>
      </c>
      <c r="D41">
        <v>4143</v>
      </c>
      <c r="E41">
        <v>1511</v>
      </c>
      <c r="F41" s="4">
        <v>1771</v>
      </c>
      <c r="G41" s="4">
        <v>4179</v>
      </c>
    </row>
    <row r="42" spans="2:7" x14ac:dyDescent="0.2">
      <c r="B42" t="s">
        <v>103</v>
      </c>
      <c r="C42">
        <v>2395</v>
      </c>
      <c r="D42">
        <v>3378</v>
      </c>
      <c r="E42">
        <v>2129</v>
      </c>
      <c r="F42" s="4">
        <v>2449</v>
      </c>
      <c r="G42" s="4">
        <v>2069</v>
      </c>
    </row>
    <row r="43" spans="2:7" x14ac:dyDescent="0.2">
      <c r="B43" t="s">
        <v>104</v>
      </c>
      <c r="C43">
        <v>-594</v>
      </c>
      <c r="D43">
        <v>-658</v>
      </c>
      <c r="E43">
        <v>-736</v>
      </c>
      <c r="F43" s="4">
        <v>-798</v>
      </c>
      <c r="G43" s="4">
        <v>-717</v>
      </c>
    </row>
    <row r="44" spans="2:7" x14ac:dyDescent="0.2">
      <c r="B44" t="s">
        <v>105</v>
      </c>
      <c r="C44" s="11">
        <v>-8590</v>
      </c>
      <c r="D44" s="11">
        <v>-3163</v>
      </c>
      <c r="E44" s="11">
        <v>-1327</v>
      </c>
      <c r="F44" s="18">
        <v>-1989</v>
      </c>
      <c r="G44" s="18">
        <v>-14536</v>
      </c>
    </row>
    <row r="45" spans="2:7" x14ac:dyDescent="0.2">
      <c r="B45" t="s">
        <v>106</v>
      </c>
      <c r="F45" s="2"/>
      <c r="G45" s="2"/>
    </row>
    <row r="46" spans="2:7" x14ac:dyDescent="0.2">
      <c r="B46" t="s">
        <v>107</v>
      </c>
      <c r="C46">
        <v>6000</v>
      </c>
      <c r="D46">
        <v>0</v>
      </c>
      <c r="E46">
        <v>0</v>
      </c>
      <c r="F46" s="4">
        <v>0</v>
      </c>
      <c r="G46" s="4">
        <v>7906</v>
      </c>
    </row>
    <row r="47" spans="2:7" x14ac:dyDescent="0.2">
      <c r="B47" t="s">
        <v>124</v>
      </c>
      <c r="F47" s="2"/>
      <c r="G47" s="2"/>
    </row>
    <row r="48" spans="2:7" x14ac:dyDescent="0.2">
      <c r="B48" s="1" t="s">
        <v>125</v>
      </c>
      <c r="F48" s="4">
        <v>0</v>
      </c>
      <c r="G48" s="4">
        <v>-1197</v>
      </c>
    </row>
    <row r="49" spans="2:7" x14ac:dyDescent="0.2">
      <c r="B49" t="s">
        <v>108</v>
      </c>
      <c r="C49">
        <v>-12596</v>
      </c>
      <c r="D49">
        <v>-7829</v>
      </c>
      <c r="E49">
        <v>-7620</v>
      </c>
      <c r="F49" s="4">
        <v>-4000</v>
      </c>
      <c r="G49" s="4">
        <v>0</v>
      </c>
    </row>
    <row r="50" spans="2:7" x14ac:dyDescent="0.2">
      <c r="B50" t="s">
        <v>109</v>
      </c>
    </row>
    <row r="51" spans="2:7" x14ac:dyDescent="0.2">
      <c r="B51" t="s">
        <v>110</v>
      </c>
      <c r="C51">
        <v>-351</v>
      </c>
      <c r="D51">
        <v>0</v>
      </c>
      <c r="E51">
        <v>0</v>
      </c>
    </row>
    <row r="52" spans="2:7" x14ac:dyDescent="0.2">
      <c r="B52" t="s">
        <v>111</v>
      </c>
      <c r="C52">
        <v>1039</v>
      </c>
      <c r="D52">
        <v>1540</v>
      </c>
      <c r="E52">
        <v>1954</v>
      </c>
      <c r="F52" s="4">
        <v>861</v>
      </c>
      <c r="G52" s="4">
        <v>1289</v>
      </c>
    </row>
    <row r="53" spans="2:7" x14ac:dyDescent="0.2">
      <c r="B53" t="s">
        <v>112</v>
      </c>
      <c r="C53">
        <v>-584</v>
      </c>
      <c r="D53">
        <v>-603</v>
      </c>
      <c r="E53">
        <v>-629</v>
      </c>
      <c r="F53" s="4">
        <v>-419</v>
      </c>
      <c r="G53" s="4">
        <v>-156</v>
      </c>
    </row>
    <row r="54" spans="2:7" x14ac:dyDescent="0.2">
      <c r="B54" t="s">
        <v>113</v>
      </c>
      <c r="C54">
        <v>0</v>
      </c>
      <c r="D54">
        <v>-1000</v>
      </c>
      <c r="E54">
        <v>-1182</v>
      </c>
      <c r="F54" s="4">
        <v>-4</v>
      </c>
      <c r="G54" s="4">
        <v>-4</v>
      </c>
    </row>
    <row r="55" spans="2:7" x14ac:dyDescent="0.2">
      <c r="B55" t="s">
        <v>114</v>
      </c>
      <c r="C55">
        <v>-1587</v>
      </c>
      <c r="D55">
        <v>-1537</v>
      </c>
      <c r="E55">
        <v>0</v>
      </c>
    </row>
    <row r="56" spans="2:7" x14ac:dyDescent="0.2">
      <c r="B56" t="s">
        <v>115</v>
      </c>
      <c r="C56" s="11">
        <v>-8079</v>
      </c>
      <c r="D56" s="11">
        <v>-9429</v>
      </c>
      <c r="E56" s="11">
        <v>-7477</v>
      </c>
      <c r="F56" s="18">
        <v>-3562</v>
      </c>
      <c r="G56" s="18">
        <v>7838</v>
      </c>
    </row>
    <row r="57" spans="2:7" x14ac:dyDescent="0.2">
      <c r="B57" t="s">
        <v>116</v>
      </c>
      <c r="C57">
        <v>152</v>
      </c>
      <c r="D57">
        <v>-124</v>
      </c>
      <c r="E57">
        <v>26</v>
      </c>
      <c r="F57" s="4">
        <v>-8</v>
      </c>
      <c r="G57" s="4">
        <v>-33</v>
      </c>
    </row>
    <row r="58" spans="2:7" x14ac:dyDescent="0.2">
      <c r="B58" t="s">
        <v>117</v>
      </c>
      <c r="C58">
        <v>-1521</v>
      </c>
      <c r="D58">
        <v>376</v>
      </c>
      <c r="E58">
        <v>1456</v>
      </c>
      <c r="F58" s="4">
        <v>1552</v>
      </c>
      <c r="G58" s="4">
        <v>-731</v>
      </c>
    </row>
    <row r="59" spans="2:7" x14ac:dyDescent="0.2">
      <c r="B59" t="s">
        <v>118</v>
      </c>
      <c r="C59">
        <v>8848</v>
      </c>
      <c r="D59">
        <v>8472</v>
      </c>
      <c r="E59">
        <v>7016</v>
      </c>
      <c r="F59" s="4">
        <v>5464</v>
      </c>
      <c r="G59" s="4">
        <v>6195</v>
      </c>
    </row>
    <row r="60" spans="2:7" x14ac:dyDescent="0.2">
      <c r="B60" t="s">
        <v>119</v>
      </c>
      <c r="C60">
        <v>7327</v>
      </c>
      <c r="D60">
        <v>8848</v>
      </c>
      <c r="E60">
        <v>8472</v>
      </c>
      <c r="F60" s="3">
        <v>7016</v>
      </c>
      <c r="G60" s="3">
        <v>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D67D-E090-1B4D-BD66-77A395711A03}">
  <dimension ref="A1:N154"/>
  <sheetViews>
    <sheetView tabSelected="1" workbookViewId="0">
      <pane ySplit="2" topLeftCell="A4" activePane="bottomLeft" state="frozen"/>
      <selection pane="bottomLeft" activeCell="H22" sqref="H22"/>
    </sheetView>
  </sheetViews>
  <sheetFormatPr baseColWidth="10" defaultRowHeight="16" x14ac:dyDescent="0.2"/>
  <cols>
    <col min="1" max="1" width="56" bestFit="1" customWidth="1"/>
    <col min="2" max="2" width="9.6640625" customWidth="1"/>
    <col min="3" max="3" width="11.33203125" customWidth="1"/>
    <col min="4" max="4" width="10.83203125" customWidth="1"/>
    <col min="5" max="5" width="11.33203125" customWidth="1"/>
    <col min="6" max="6" width="10.1640625" customWidth="1"/>
    <col min="7" max="7" width="10.5" customWidth="1"/>
    <col min="12" max="12" width="11.33203125" bestFit="1" customWidth="1"/>
    <col min="13" max="13" width="21" bestFit="1" customWidth="1"/>
    <col min="14" max="14" width="20.33203125" bestFit="1" customWidth="1"/>
  </cols>
  <sheetData>
    <row r="1" spans="1:12" x14ac:dyDescent="0.2">
      <c r="A1" t="s">
        <v>151</v>
      </c>
    </row>
    <row r="2" spans="1:12" x14ac:dyDescent="0.2">
      <c r="A2" t="s">
        <v>127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</row>
    <row r="3" spans="1:12" x14ac:dyDescent="0.2">
      <c r="A3" t="s">
        <v>130</v>
      </c>
    </row>
    <row r="4" spans="1:12" x14ac:dyDescent="0.2">
      <c r="A4" t="s">
        <v>270</v>
      </c>
      <c r="B4">
        <v>21252</v>
      </c>
      <c r="C4" s="6">
        <f>'IS26'!G16+'IS26'!G17</f>
        <v>26492</v>
      </c>
      <c r="D4" s="6">
        <f>'IS26'!F16+'IS26'!F17</f>
        <v>31352</v>
      </c>
      <c r="E4" s="6">
        <f>'IS26'!E16+'IS26'!E17</f>
        <v>34857</v>
      </c>
      <c r="F4" s="6">
        <f>'IS26'!D16+'IS26'!D17</f>
        <v>37895</v>
      </c>
      <c r="G4" s="6">
        <f>'IS26'!C16+'IS26'!C17</f>
        <v>41525</v>
      </c>
      <c r="H4" s="6">
        <f>G4*(1+Assumptions!B12)</f>
        <v>45701.607402031928</v>
      </c>
      <c r="I4" s="6">
        <f>H4*(1+Assumptions!C12)</f>
        <v>50068.465636157875</v>
      </c>
      <c r="J4" s="6">
        <f>I4*(1+Assumptions!D12)</f>
        <v>54613.377919755309</v>
      </c>
      <c r="K4" s="6">
        <f>J4*(1+Assumptions!E12)</f>
        <v>59322.976237826064</v>
      </c>
      <c r="L4" s="6">
        <f>K4*(1+Assumptions!F12)</f>
        <v>64182.921360557179</v>
      </c>
    </row>
    <row r="5" spans="1:12" x14ac:dyDescent="0.2">
      <c r="A5" t="s">
        <v>131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">
      <c r="A6" t="s">
        <v>132</v>
      </c>
      <c r="C6" s="6">
        <f>'IS26'!G20+'IS26'!G21</f>
        <v>7026</v>
      </c>
      <c r="D6" s="6">
        <f>'IS26'!F20+'IS26'!F21</f>
        <v>8360</v>
      </c>
      <c r="E6" s="6">
        <f>'IS26'!E20+'IS26'!E21</f>
        <v>8541</v>
      </c>
      <c r="F6" s="6">
        <f>'IS26'!D20+'IS26'!D21</f>
        <v>8643</v>
      </c>
      <c r="G6" s="6">
        <f>'IS26'!C20+'IS26'!C21</f>
        <v>9270</v>
      </c>
      <c r="H6" s="6">
        <f>H4*$G$121</f>
        <v>10202.381712626995</v>
      </c>
      <c r="I6" s="6">
        <f>I4*$G$121</f>
        <v>11177.234833165165</v>
      </c>
      <c r="J6" s="6">
        <f>J4*$G$121</f>
        <v>12191.836563904437</v>
      </c>
      <c r="K6" s="6">
        <f>K4*$G$121</f>
        <v>13243.20264237562</v>
      </c>
      <c r="L6" s="6">
        <f>L4*$G$121</f>
        <v>14328.13199307321</v>
      </c>
    </row>
    <row r="7" spans="1:12" x14ac:dyDescent="0.2">
      <c r="A7" t="s">
        <v>133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t="s">
        <v>134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t="s">
        <v>135</v>
      </c>
      <c r="C9" s="9">
        <f>C4-C6</f>
        <v>19466</v>
      </c>
      <c r="D9" s="9">
        <f t="shared" ref="D9:L9" si="0">D4-D6</f>
        <v>22992</v>
      </c>
      <c r="E9" s="9">
        <f t="shared" si="0"/>
        <v>26316</v>
      </c>
      <c r="F9" s="9">
        <f t="shared" si="0"/>
        <v>29252</v>
      </c>
      <c r="G9" s="9">
        <f t="shared" si="0"/>
        <v>32255</v>
      </c>
      <c r="H9" s="9">
        <f t="shared" si="0"/>
        <v>35499.225689404935</v>
      </c>
      <c r="I9" s="9">
        <f t="shared" si="0"/>
        <v>38891.230802992708</v>
      </c>
      <c r="J9" s="9">
        <f t="shared" si="0"/>
        <v>42421.541355850874</v>
      </c>
      <c r="K9" s="9">
        <f t="shared" si="0"/>
        <v>46079.773595450446</v>
      </c>
      <c r="L9" s="9">
        <f t="shared" si="0"/>
        <v>49854.789367483972</v>
      </c>
    </row>
    <row r="10" spans="1:12" x14ac:dyDescent="0.2">
      <c r="A10" t="s">
        <v>136</v>
      </c>
      <c r="C10" s="7">
        <f>C9/C4</f>
        <v>0.7347878604861845</v>
      </c>
      <c r="D10" s="7">
        <f t="shared" ref="D10:L10" si="1">D9/D4</f>
        <v>0.73335034447563152</v>
      </c>
      <c r="E10" s="7">
        <f t="shared" si="1"/>
        <v>0.75497030725535763</v>
      </c>
      <c r="F10" s="7">
        <f t="shared" si="1"/>
        <v>0.77192241720543608</v>
      </c>
      <c r="G10" s="7">
        <f t="shared" si="1"/>
        <v>0.77676098735701382</v>
      </c>
      <c r="H10" s="7">
        <f>H9/H4</f>
        <v>0.77676098735701393</v>
      </c>
      <c r="I10" s="7">
        <f t="shared" si="1"/>
        <v>0.77676098735701382</v>
      </c>
      <c r="J10" s="7">
        <f t="shared" si="1"/>
        <v>0.77676098735701382</v>
      </c>
      <c r="K10" s="7">
        <f t="shared" si="1"/>
        <v>0.77676098735701393</v>
      </c>
      <c r="L10" s="7">
        <f t="shared" si="1"/>
        <v>0.77676098735701393</v>
      </c>
    </row>
    <row r="11" spans="1:12" x14ac:dyDescent="0.2"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t="s">
        <v>137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">
      <c r="A13" t="s">
        <v>138</v>
      </c>
      <c r="C13" s="6">
        <f>'IS26'!G25</f>
        <v>4465</v>
      </c>
      <c r="D13" s="6">
        <f>'IS26'!F25</f>
        <v>5055</v>
      </c>
      <c r="E13" s="6">
        <f>'IS26'!E25</f>
        <v>4906</v>
      </c>
      <c r="F13" s="6">
        <f>'IS26'!D25</f>
        <v>5493</v>
      </c>
      <c r="G13" s="6">
        <f>'IS26'!C25</f>
        <v>5993</v>
      </c>
      <c r="H13" s="6">
        <f>H4*Assumptions!B16</f>
        <v>6562.8003490566034</v>
      </c>
      <c r="I13" s="6">
        <f>I4*Assumptions!C16</f>
        <v>7153.9364941549211</v>
      </c>
      <c r="J13" s="6">
        <f>J4*Assumptions!D16</f>
        <v>7764.3109139263306</v>
      </c>
      <c r="K13" s="6">
        <f>K4*Assumptions!E16</f>
        <v>8391.6988684363168</v>
      </c>
      <c r="L13" s="6">
        <f>L4*Assumptions!F16</f>
        <v>9033.7802281376589</v>
      </c>
    </row>
    <row r="14" spans="1:12" x14ac:dyDescent="0.2">
      <c r="A14" t="s">
        <v>139</v>
      </c>
      <c r="C14" s="6">
        <f>'IS26'!G26</f>
        <v>11855</v>
      </c>
      <c r="D14" s="6">
        <f>'IS26'!F26</f>
        <v>13526</v>
      </c>
      <c r="E14" s="6">
        <f>'IS26'!E26</f>
        <v>12877</v>
      </c>
      <c r="F14" s="6">
        <f>'IS26'!D26</f>
        <v>13257</v>
      </c>
      <c r="G14" s="6">
        <f>'IS26'!C26</f>
        <v>14345</v>
      </c>
      <c r="H14" s="6">
        <f>H4*Assumptions!B18</f>
        <v>15708.888871552974</v>
      </c>
      <c r="I14" s="6">
        <f>I4*Assumptions!C18</f>
        <v>17123.847657041941</v>
      </c>
      <c r="J14" s="6">
        <f>J4*Assumptions!D18</f>
        <v>18584.855674999704</v>
      </c>
      <c r="K14" s="6">
        <f>K4*Assumptions!E18</f>
        <v>20086.587730305186</v>
      </c>
      <c r="L14" s="6">
        <f>L4*Assumptions!F18</f>
        <v>21623.490300790039</v>
      </c>
    </row>
    <row r="15" spans="1:12" x14ac:dyDescent="0.2">
      <c r="A15" t="s">
        <v>140</v>
      </c>
      <c r="C15" s="6">
        <f>'IS26'!G27</f>
        <v>2598</v>
      </c>
      <c r="D15" s="6">
        <f>'IS26'!F27</f>
        <v>2553</v>
      </c>
      <c r="E15" s="6">
        <f>'IS26'!E27</f>
        <v>2534</v>
      </c>
      <c r="F15" s="6">
        <f>'IS26'!D27</f>
        <v>2836</v>
      </c>
      <c r="G15" s="6">
        <f>'IS26'!C27</f>
        <v>3000</v>
      </c>
      <c r="H15" s="6">
        <f>H4*Assumptions!B20</f>
        <v>3285.2329462989842</v>
      </c>
      <c r="I15" s="6">
        <f>I4*Assumptions!C20</f>
        <v>3581.1462510370047</v>
      </c>
      <c r="J15" s="6">
        <f>J4*Assumptions!D20</f>
        <v>3886.6899285464706</v>
      </c>
      <c r="K15" s="6">
        <f>K4*Assumptions!E20</f>
        <v>4200.7503095793354</v>
      </c>
      <c r="L15" s="6">
        <f>L4*Assumptions!F20</f>
        <v>4522.165974372263</v>
      </c>
    </row>
    <row r="16" spans="1:12" x14ac:dyDescent="0.2">
      <c r="A16" t="s">
        <v>141</v>
      </c>
      <c r="C16" s="6">
        <f>'IS26'!G28</f>
        <v>0</v>
      </c>
      <c r="D16" s="6">
        <f>'IS26'!F28</f>
        <v>828</v>
      </c>
      <c r="E16" s="6">
        <f>'IS26'!E28</f>
        <v>988</v>
      </c>
      <c r="F16" s="6">
        <f>'IS26'!D28</f>
        <v>461</v>
      </c>
      <c r="G16" s="6">
        <f>'IS26'!C28</f>
        <v>586</v>
      </c>
      <c r="H16" s="6">
        <f>H4*Assumptions!B22</f>
        <v>641.71550217706817</v>
      </c>
      <c r="I16" s="6">
        <f>I4*Assumptions!C22</f>
        <v>699.51723436922816</v>
      </c>
      <c r="J16" s="6">
        <f>J4*Assumptions!D22</f>
        <v>759.20009937607699</v>
      </c>
      <c r="K16" s="6">
        <f>K4*Assumptions!E22</f>
        <v>820.54656047116327</v>
      </c>
      <c r="L16" s="6">
        <f>L4*Assumptions!F22</f>
        <v>883.32975366071537</v>
      </c>
    </row>
    <row r="17" spans="1:12" x14ac:dyDescent="0.2">
      <c r="A17" t="s">
        <v>142</v>
      </c>
      <c r="C17" s="6">
        <f>SUM(C13:C16)</f>
        <v>18918</v>
      </c>
      <c r="D17" s="6">
        <f t="shared" ref="D17:F17" si="2">SUM(D13:D16)</f>
        <v>21962</v>
      </c>
      <c r="E17" s="6">
        <f t="shared" si="2"/>
        <v>21305</v>
      </c>
      <c r="F17" s="6">
        <f t="shared" si="2"/>
        <v>22047</v>
      </c>
      <c r="G17" s="6">
        <f>SUM(G13:G16)</f>
        <v>23924</v>
      </c>
      <c r="H17" s="6">
        <f>SUM(H13:H16)</f>
        <v>26198.637669085627</v>
      </c>
      <c r="I17" s="6">
        <f>SUM(I13:I16)</f>
        <v>28558.447636603094</v>
      </c>
      <c r="J17" s="6">
        <f t="shared" ref="J17:L17" si="3">SUM(J13:J16)</f>
        <v>30995.056616848582</v>
      </c>
      <c r="K17" s="6">
        <f t="shared" si="3"/>
        <v>33499.583468792</v>
      </c>
      <c r="L17" s="6">
        <f t="shared" si="3"/>
        <v>36062.766256960676</v>
      </c>
    </row>
    <row r="18" spans="1:12" x14ac:dyDescent="0.2">
      <c r="A18" t="s">
        <v>144</v>
      </c>
      <c r="C18" s="9">
        <f>C9-C17</f>
        <v>548</v>
      </c>
      <c r="D18" s="9">
        <f t="shared" ref="D18:L18" si="4">D9-D17</f>
        <v>1030</v>
      </c>
      <c r="E18" s="9">
        <f t="shared" si="4"/>
        <v>5011</v>
      </c>
      <c r="F18" s="9">
        <f t="shared" si="4"/>
        <v>7205</v>
      </c>
      <c r="G18" s="9">
        <f t="shared" si="4"/>
        <v>8331</v>
      </c>
      <c r="H18" s="9">
        <f>H9-H17</f>
        <v>9300.5880203193083</v>
      </c>
      <c r="I18" s="9">
        <f t="shared" si="4"/>
        <v>10332.783166389614</v>
      </c>
      <c r="J18" s="9">
        <f t="shared" si="4"/>
        <v>11426.484739002291</v>
      </c>
      <c r="K18" s="9">
        <f t="shared" si="4"/>
        <v>12580.190126658446</v>
      </c>
      <c r="L18" s="9">
        <f t="shared" si="4"/>
        <v>13792.023110523296</v>
      </c>
    </row>
    <row r="19" spans="1:12" x14ac:dyDescent="0.2">
      <c r="A19" t="s">
        <v>143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t="s">
        <v>145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t="s">
        <v>146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t="s">
        <v>72</v>
      </c>
      <c r="C22" s="6">
        <f>+'IS26'!G33</f>
        <v>1211</v>
      </c>
      <c r="D22" s="6">
        <f>+'IS26'!F33</f>
        <v>-239</v>
      </c>
      <c r="E22" s="6">
        <f>'IS26'!E33</f>
        <v>-277</v>
      </c>
      <c r="F22" s="6">
        <f>'IS26'!D33</f>
        <v>-121</v>
      </c>
      <c r="G22" s="6">
        <f>'IS26'!C33</f>
        <v>1017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t="s">
        <v>147</v>
      </c>
      <c r="C23" s="6">
        <f>'IS26'!G34</f>
        <v>-227</v>
      </c>
      <c r="D23" s="6">
        <f>'IS26'!F34</f>
        <v>-131</v>
      </c>
      <c r="E23" s="6">
        <f>+'IS26'!E34</f>
        <v>216</v>
      </c>
      <c r="F23" s="6">
        <f>+'IS26'!D34</f>
        <v>354</v>
      </c>
      <c r="G23" s="6">
        <f>+'IS26'!C34</f>
        <v>172</v>
      </c>
      <c r="H23" s="6">
        <f>H4*Assumptions!B23</f>
        <v>189.29985486211899</v>
      </c>
      <c r="I23" s="6">
        <f>I4*Assumptions!C23</f>
        <v>207.38774447728247</v>
      </c>
      <c r="J23" s="6">
        <f>J4*Assumptions!D23</f>
        <v>226.21314875852892</v>
      </c>
      <c r="K23" s="6">
        <f>K4*Assumptions!E23</f>
        <v>245.72069627708808</v>
      </c>
      <c r="L23" s="6">
        <f>L4*Assumptions!F23</f>
        <v>265.85099275173593</v>
      </c>
    </row>
    <row r="24" spans="1:12" x14ac:dyDescent="0.2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t="s">
        <v>148</v>
      </c>
      <c r="C25" s="6">
        <f t="shared" ref="C25:H25" si="5">C18+C23+C22</f>
        <v>1532</v>
      </c>
      <c r="D25" s="6">
        <f t="shared" si="5"/>
        <v>660</v>
      </c>
      <c r="E25" s="6">
        <f t="shared" si="5"/>
        <v>4950</v>
      </c>
      <c r="F25" s="6">
        <f t="shared" si="5"/>
        <v>7438</v>
      </c>
      <c r="G25" s="6">
        <f t="shared" si="5"/>
        <v>9520</v>
      </c>
      <c r="H25" s="6">
        <f>H18+H23+H22</f>
        <v>9489.8878751814264</v>
      </c>
      <c r="I25" s="6">
        <f t="shared" ref="I25:L25" si="6">I18+I23+I22</f>
        <v>10540.170910866897</v>
      </c>
      <c r="J25" s="6">
        <f t="shared" si="6"/>
        <v>11652.69788776082</v>
      </c>
      <c r="K25" s="6">
        <f t="shared" si="6"/>
        <v>12825.910822935535</v>
      </c>
      <c r="L25" s="6">
        <f t="shared" si="6"/>
        <v>14057.874103275031</v>
      </c>
    </row>
    <row r="26" spans="1:12" x14ac:dyDescent="0.2">
      <c r="A26" t="s">
        <v>149</v>
      </c>
      <c r="C26" s="6">
        <f>-'IS26'!G36</f>
        <v>88</v>
      </c>
      <c r="D26" s="6">
        <f>-'IS26'!F36</f>
        <v>452</v>
      </c>
      <c r="E26" s="6">
        <f>-'IS26'!E36</f>
        <v>814</v>
      </c>
      <c r="F26" s="6">
        <f>-'IS26'!D36</f>
        <v>1241</v>
      </c>
      <c r="G26" s="6">
        <f>-'IS26'!C36</f>
        <v>2063</v>
      </c>
      <c r="H26" s="6">
        <f>H25*Assumptions!B33</f>
        <v>2056.4746519432019</v>
      </c>
      <c r="I26" s="6">
        <f>I25*Assumptions!C33</f>
        <v>2284.072750957816</v>
      </c>
      <c r="J26" s="6">
        <f>J25*Assumptions!D33</f>
        <v>2525.1592166439677</v>
      </c>
      <c r="K26" s="6">
        <f>K25*Assumptions!E33</f>
        <v>2779.396431482774</v>
      </c>
      <c r="L26" s="6">
        <f>L25*Assumptions!F33</f>
        <v>3046.3649448588644</v>
      </c>
    </row>
    <row r="27" spans="1:12" x14ac:dyDescent="0.2">
      <c r="A27" t="s">
        <v>76</v>
      </c>
      <c r="C27" s="9">
        <f>C25-C26</f>
        <v>1444</v>
      </c>
      <c r="D27" s="9">
        <f t="shared" ref="D27:L27" si="7">D25-D26</f>
        <v>208</v>
      </c>
      <c r="E27" s="9">
        <f t="shared" si="7"/>
        <v>4136</v>
      </c>
      <c r="F27" s="9">
        <f t="shared" si="7"/>
        <v>6197</v>
      </c>
      <c r="G27" s="9">
        <f t="shared" si="7"/>
        <v>7457</v>
      </c>
      <c r="H27" s="9">
        <f t="shared" si="7"/>
        <v>7433.4132232382244</v>
      </c>
      <c r="I27" s="9">
        <f t="shared" si="7"/>
        <v>8256.098159909081</v>
      </c>
      <c r="J27" s="9">
        <f t="shared" si="7"/>
        <v>9127.5386711168521</v>
      </c>
      <c r="K27" s="9">
        <f t="shared" si="7"/>
        <v>10046.514391452762</v>
      </c>
      <c r="L27" s="9">
        <f t="shared" si="7"/>
        <v>11011.509158416167</v>
      </c>
    </row>
    <row r="28" spans="1:12" x14ac:dyDescent="0.2">
      <c r="A28" t="s">
        <v>150</v>
      </c>
      <c r="C28" s="7">
        <f t="shared" ref="C28:L28" si="8">C27/C4</f>
        <v>5.4507020987467916E-2</v>
      </c>
      <c r="D28" s="7">
        <f t="shared" si="8"/>
        <v>6.6343454963000764E-3</v>
      </c>
      <c r="E28" s="7">
        <f t="shared" si="8"/>
        <v>0.11865622400091803</v>
      </c>
      <c r="F28" s="7">
        <f t="shared" si="8"/>
        <v>0.16353080881382767</v>
      </c>
      <c r="G28" s="7">
        <f t="shared" si="8"/>
        <v>0.179578567128236</v>
      </c>
      <c r="H28" s="7">
        <f t="shared" si="8"/>
        <v>0.16265102358101585</v>
      </c>
      <c r="I28" s="7">
        <f t="shared" si="8"/>
        <v>0.16489616877627633</v>
      </c>
      <c r="J28" s="7">
        <f t="shared" si="8"/>
        <v>0.16713008824556053</v>
      </c>
      <c r="K28" s="7">
        <f t="shared" si="8"/>
        <v>0.16935283811749841</v>
      </c>
      <c r="L28" s="7">
        <f t="shared" si="8"/>
        <v>0.17156447424007648</v>
      </c>
    </row>
    <row r="29" spans="1:12" x14ac:dyDescent="0.2"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t="s">
        <v>128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t="s">
        <v>152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t="s">
        <v>168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t="s">
        <v>281</v>
      </c>
      <c r="B33">
        <v>6195</v>
      </c>
      <c r="C33" s="6">
        <f>'BS 2026'!G18</f>
        <v>5464</v>
      </c>
      <c r="D33" s="6">
        <f>'BS 2026'!F18</f>
        <v>7016</v>
      </c>
      <c r="E33" s="6">
        <f>'BS 2026'!E18</f>
        <v>8472</v>
      </c>
      <c r="F33" s="6">
        <f>'BS 2026'!D18</f>
        <v>8848</v>
      </c>
      <c r="G33" s="6">
        <f>'BS 2026'!C18</f>
        <v>7327</v>
      </c>
      <c r="H33" s="6">
        <f>H117</f>
        <v>6445.3961119906198</v>
      </c>
      <c r="I33" s="6">
        <f t="shared" ref="I33:L33" si="9">I117</f>
        <v>6372.5525944804831</v>
      </c>
      <c r="J33" s="6">
        <f t="shared" si="9"/>
        <v>6586.1215424216534</v>
      </c>
      <c r="K33" s="6">
        <f t="shared" si="9"/>
        <v>7882.2315078738829</v>
      </c>
      <c r="L33" s="6">
        <f t="shared" si="9"/>
        <v>10186.544163168222</v>
      </c>
    </row>
    <row r="34" spans="1:12" x14ac:dyDescent="0.2">
      <c r="A34" t="s">
        <v>153</v>
      </c>
      <c r="C34" s="6">
        <f>'BS 2026'!G19</f>
        <v>5073</v>
      </c>
      <c r="D34" s="6">
        <f>'BS 2026'!F19</f>
        <v>5492</v>
      </c>
      <c r="E34" s="6">
        <f>'BS 2026'!E19</f>
        <v>5722</v>
      </c>
      <c r="F34" s="6">
        <f>'BS 2026'!D19</f>
        <v>5184</v>
      </c>
      <c r="G34" s="6">
        <f>'BS 2026'!C19</f>
        <v>2238</v>
      </c>
      <c r="H34" s="6">
        <f>MAX(0,-H75)</f>
        <v>0</v>
      </c>
      <c r="I34" s="6">
        <f t="shared" ref="I34:L34" si="10">MAX(0,-I75)</f>
        <v>2167.6621299200779</v>
      </c>
      <c r="J34" s="6">
        <f t="shared" si="10"/>
        <v>5136.3607423642825</v>
      </c>
      <c r="K34" s="6">
        <f t="shared" si="10"/>
        <v>8267.8240531144256</v>
      </c>
      <c r="L34" s="6">
        <f t="shared" si="10"/>
        <v>11690.226119702886</v>
      </c>
    </row>
    <row r="35" spans="1:12" x14ac:dyDescent="0.2">
      <c r="A35" t="s">
        <v>252</v>
      </c>
      <c r="C35" s="6">
        <f>'BS 2026'!G20</f>
        <v>9739</v>
      </c>
      <c r="D35" s="6">
        <f>'BS 2026'!F20</f>
        <v>10755</v>
      </c>
      <c r="E35" s="6">
        <f>'BS 2026'!E20</f>
        <v>11414</v>
      </c>
      <c r="F35" s="6">
        <f>'BS 2026'!D20</f>
        <v>11945</v>
      </c>
      <c r="G35" s="6">
        <f>'BS 2026'!C20</f>
        <v>14339</v>
      </c>
      <c r="H35" s="6">
        <f>(Assumptions!B30*Forecasting!H4)/365</f>
        <v>15526.079436169235</v>
      </c>
      <c r="I35" s="6">
        <f>(Assumptions!C30*Forecasting!I4)/365</f>
        <v>17009.619987229034</v>
      </c>
      <c r="J35" s="6">
        <f>(Assumptions!D30*Forecasting!J4)/365</f>
        <v>18553.650343203291</v>
      </c>
      <c r="K35" s="6">
        <f>(Assumptions!E30*Forecasting!K4)/365</f>
        <v>20153.629025694107</v>
      </c>
      <c r="L35" s="6">
        <f>(Assumptions!F30*Forecasting!L4)/365</f>
        <v>21804.684608207201</v>
      </c>
    </row>
    <row r="36" spans="1:12" x14ac:dyDescent="0.2">
      <c r="A36" t="s">
        <v>154</v>
      </c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t="s">
        <v>155</v>
      </c>
      <c r="C37" s="6">
        <f>'BS 2026'!G22</f>
        <v>1120</v>
      </c>
      <c r="D37" s="6">
        <f>'BS 2026'!F22</f>
        <v>1356</v>
      </c>
      <c r="E37" s="6">
        <f>'BS 2026'!E22</f>
        <v>1561</v>
      </c>
      <c r="F37" s="6">
        <f>'BS 2026'!D22</f>
        <v>1779</v>
      </c>
      <c r="G37" s="6">
        <f>'BS 2026'!C22</f>
        <v>2243</v>
      </c>
      <c r="H37" s="6">
        <f>H4*(Assumptions!B35)</f>
        <v>2113.8992781410257</v>
      </c>
      <c r="I37" s="6">
        <f>I4*(Assumptions!C35)</f>
        <v>2362.2032871522392</v>
      </c>
      <c r="J37" s="6">
        <f>J4*(Assumptions!D35)</f>
        <v>2628.1624010142505</v>
      </c>
      <c r="K37" s="6">
        <f>K4*(Assumptions!E35)</f>
        <v>2911.8986965331283</v>
      </c>
      <c r="L37" s="6">
        <f>L4*(Assumptions!F35)</f>
        <v>3213.4606258836361</v>
      </c>
    </row>
    <row r="38" spans="1:12" x14ac:dyDescent="0.2">
      <c r="A38" t="s">
        <v>156</v>
      </c>
      <c r="C38" s="6">
        <f>'BS 2026'!G21</f>
        <v>1454</v>
      </c>
      <c r="D38" s="6">
        <f>'BS 2026'!F21</f>
        <v>1776</v>
      </c>
      <c r="E38" s="6">
        <f>'BS 2026'!E21</f>
        <v>1905</v>
      </c>
      <c r="F38" s="6">
        <f>'BS 2026'!D21</f>
        <v>1971</v>
      </c>
      <c r="G38" s="6">
        <f>'BS 2026'!C21</f>
        <v>2075</v>
      </c>
      <c r="H38" s="6">
        <f>H4*Assumptions!B37</f>
        <v>2451.1188531629086</v>
      </c>
      <c r="I38" s="6">
        <f>I4*Assumptions!C37</f>
        <v>2739.033534858881</v>
      </c>
      <c r="J38" s="6">
        <f>J4*Assumptions!D37</f>
        <v>3047.4197502754259</v>
      </c>
      <c r="K38" s="6">
        <f>K4*Assumptions!E37</f>
        <v>3376.4190505091269</v>
      </c>
      <c r="L38" s="6">
        <f>L4*Assumptions!F37</f>
        <v>3726.0876170631759</v>
      </c>
    </row>
    <row r="39" spans="1:12" x14ac:dyDescent="0.2">
      <c r="A39" t="s">
        <v>157</v>
      </c>
      <c r="C39" s="9">
        <f>SUM(C33:C38)</f>
        <v>22850</v>
      </c>
      <c r="D39" s="9">
        <f t="shared" ref="D39" si="11">SUM(D33:D38)</f>
        <v>26395</v>
      </c>
      <c r="E39" s="9">
        <f>SUM(E33:E38)</f>
        <v>29074</v>
      </c>
      <c r="F39" s="9">
        <f t="shared" ref="F39" si="12">SUM(F33:F38)</f>
        <v>29727</v>
      </c>
      <c r="G39" s="9">
        <f>SUM(G33:G38)</f>
        <v>28222</v>
      </c>
      <c r="H39" s="9">
        <f>SUM(H33:H38)</f>
        <v>26536.493679463791</v>
      </c>
      <c r="I39" s="9">
        <f t="shared" ref="I39:L39" si="13">SUM(I33:I38)</f>
        <v>30651.071533640716</v>
      </c>
      <c r="J39" s="9">
        <f t="shared" si="13"/>
        <v>35951.714779278904</v>
      </c>
      <c r="K39" s="9">
        <f t="shared" si="13"/>
        <v>42592.002333724668</v>
      </c>
      <c r="L39" s="9">
        <f t="shared" si="13"/>
        <v>50621.003134025115</v>
      </c>
    </row>
    <row r="40" spans="1:12" x14ac:dyDescent="0.2">
      <c r="A40" t="s">
        <v>158</v>
      </c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t="s">
        <v>159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t="s">
        <v>160</v>
      </c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t="s">
        <v>161</v>
      </c>
      <c r="C43" s="6">
        <f>'BS 2026'!G24</f>
        <v>2815</v>
      </c>
      <c r="D43" s="6">
        <f>'BS 2026'!F24</f>
        <v>3702</v>
      </c>
      <c r="E43" s="6">
        <f>'BS 2026'!E24</f>
        <v>3689</v>
      </c>
      <c r="F43" s="6">
        <f>'BS 2026'!D24</f>
        <v>3236</v>
      </c>
      <c r="G43" s="6">
        <f>'BS 2026'!C24</f>
        <v>3120</v>
      </c>
      <c r="H43" s="6">
        <f>H4*(Assumptions!B38)</f>
        <v>4485.1447597234292</v>
      </c>
      <c r="I43" s="6">
        <f>I4*(Assumptions!C38)</f>
        <v>4913.7071766412701</v>
      </c>
      <c r="J43" s="6">
        <f>J4*(Assumptions!D38)</f>
        <v>5359.7437751542875</v>
      </c>
      <c r="K43" s="6">
        <f>K4*(Assumptions!E38)</f>
        <v>5821.9426214854166</v>
      </c>
      <c r="L43" s="6">
        <f>L4*(Assumptions!F38)</f>
        <v>6298.8964670692312</v>
      </c>
    </row>
    <row r="44" spans="1:12" x14ac:dyDescent="0.2">
      <c r="A44" t="s">
        <v>24</v>
      </c>
      <c r="C44" s="6">
        <f>'BS 2026'!G29</f>
        <v>47937</v>
      </c>
      <c r="D44" s="6">
        <f>'BS 2026'!F29</f>
        <v>48568</v>
      </c>
      <c r="E44" s="6">
        <f>'BS 2026'!E29</f>
        <v>48620</v>
      </c>
      <c r="F44" s="6">
        <f>'BS 2026'!D29</f>
        <v>51283</v>
      </c>
      <c r="G44" s="6">
        <f>'BS 2026'!C29</f>
        <v>57941</v>
      </c>
      <c r="H44" s="6">
        <f>G44+(-H94+G94)</f>
        <v>58873.180551523947</v>
      </c>
      <c r="I44" s="6">
        <f>H44+(-I94+H94)</f>
        <v>59847.823347764264</v>
      </c>
      <c r="J44" s="6">
        <f>I44+(-J94+I94)</f>
        <v>60862.206178453751</v>
      </c>
      <c r="K44" s="6">
        <f>J44+(-K94+J94)</f>
        <v>61913.345424977044</v>
      </c>
      <c r="L44" s="6">
        <f>K44+(-L94+K94)</f>
        <v>62998.04070245981</v>
      </c>
    </row>
    <row r="45" spans="1:12" x14ac:dyDescent="0.2">
      <c r="A45" t="s">
        <v>162</v>
      </c>
      <c r="C45" s="6">
        <f>'BS 2026'!G30</f>
        <v>8978</v>
      </c>
      <c r="D45" s="6">
        <f>'BS 2026'!F30</f>
        <v>7125</v>
      </c>
      <c r="E45" s="6">
        <f>'BS 2026'!E30</f>
        <v>5278</v>
      </c>
      <c r="F45" s="6">
        <f>'BS 2026'!D30</f>
        <v>4428</v>
      </c>
      <c r="G45" s="6">
        <f>'BS 2026'!C30</f>
        <v>6815</v>
      </c>
      <c r="H45" s="6">
        <f>G45</f>
        <v>6815</v>
      </c>
      <c r="I45" s="6">
        <f t="shared" ref="I45:L45" si="14">H45</f>
        <v>6815</v>
      </c>
      <c r="J45" s="6">
        <f t="shared" si="14"/>
        <v>6815</v>
      </c>
      <c r="K45" s="6">
        <f t="shared" si="14"/>
        <v>6815</v>
      </c>
      <c r="L45" s="6">
        <f t="shared" si="14"/>
        <v>6815</v>
      </c>
    </row>
    <row r="46" spans="1:12" x14ac:dyDescent="0.2">
      <c r="A46" t="s">
        <v>21</v>
      </c>
      <c r="C46" s="6">
        <f>'BS 2026'!G25</f>
        <v>2880</v>
      </c>
      <c r="D46" s="6">
        <f>'BS 2026'!F25</f>
        <v>2890</v>
      </c>
      <c r="E46" s="6">
        <f>'BS 2026'!E25</f>
        <v>2366</v>
      </c>
      <c r="F46" s="6">
        <f>'BS 2026'!D25</f>
        <v>2157</v>
      </c>
      <c r="G46" s="6">
        <f>'BS 2026'!C25</f>
        <v>2003</v>
      </c>
      <c r="H46" s="6">
        <f>G46</f>
        <v>2003</v>
      </c>
      <c r="I46" s="6">
        <f t="shared" ref="I46:L46" si="15">H46</f>
        <v>2003</v>
      </c>
      <c r="J46" s="6">
        <f t="shared" si="15"/>
        <v>2003</v>
      </c>
      <c r="K46" s="6">
        <f t="shared" si="15"/>
        <v>2003</v>
      </c>
      <c r="L46" s="6">
        <f t="shared" si="15"/>
        <v>2003</v>
      </c>
    </row>
    <row r="47" spans="1:12" x14ac:dyDescent="0.2">
      <c r="A47" t="s">
        <v>22</v>
      </c>
      <c r="C47" s="6">
        <f>'BS 2026'!G26</f>
        <v>2342</v>
      </c>
      <c r="D47" s="6">
        <f>'BS 2026'!F26</f>
        <v>2697</v>
      </c>
      <c r="E47" s="6">
        <f>'BS 2026'!E26</f>
        <v>2515</v>
      </c>
      <c r="F47" s="6">
        <f>'BS 2026'!D26</f>
        <v>2475</v>
      </c>
      <c r="G47" s="6">
        <f>'BS 2026'!C26</f>
        <v>2985</v>
      </c>
      <c r="H47" s="6">
        <f>H4*$H$150</f>
        <v>3507.8328647958865</v>
      </c>
      <c r="I47" s="6">
        <f>I4*$H$150</f>
        <v>3843.011640781137</v>
      </c>
      <c r="J47" s="6">
        <f>J4*$H$150</f>
        <v>4191.8569786654407</v>
      </c>
      <c r="K47" s="6">
        <f>K4*$H$150</f>
        <v>4553.3428147058921</v>
      </c>
      <c r="L47" s="6">
        <f>L4*$H$150</f>
        <v>4926.3685394392141</v>
      </c>
    </row>
    <row r="48" spans="1:12" x14ac:dyDescent="0.2">
      <c r="A48" t="s">
        <v>277</v>
      </c>
      <c r="C48" s="6">
        <f>'BS 2026'!G28</f>
        <v>4784</v>
      </c>
      <c r="D48" s="6">
        <f>'BS 2026'!F28</f>
        <v>4672</v>
      </c>
      <c r="E48" s="6">
        <f>'BS 2026'!E28</f>
        <v>4848</v>
      </c>
      <c r="F48" s="6">
        <f>'BS 2026'!D28</f>
        <v>4852</v>
      </c>
      <c r="G48" s="6">
        <f>'BS 2026'!C28</f>
        <v>7591</v>
      </c>
      <c r="H48" s="6">
        <f>G48</f>
        <v>7591</v>
      </c>
      <c r="I48" s="6">
        <f t="shared" ref="I48:L48" si="16">H48</f>
        <v>7591</v>
      </c>
      <c r="J48" s="6">
        <f t="shared" si="16"/>
        <v>7591</v>
      </c>
      <c r="K48" s="6">
        <f t="shared" si="16"/>
        <v>7591</v>
      </c>
      <c r="L48" s="6">
        <f t="shared" si="16"/>
        <v>7591</v>
      </c>
    </row>
    <row r="49" spans="1:12" x14ac:dyDescent="0.2">
      <c r="A49" t="s">
        <v>214</v>
      </c>
      <c r="C49" s="6">
        <f>'BS 2026'!G31</f>
        <v>2623</v>
      </c>
      <c r="D49" s="6">
        <f>'BS 2026'!F31</f>
        <v>2800</v>
      </c>
      <c r="E49" s="6">
        <f>'BS 2026'!E31</f>
        <v>3433</v>
      </c>
      <c r="F49" s="6">
        <f>'BS 2026'!D31</f>
        <v>4770</v>
      </c>
      <c r="G49" s="6">
        <f>'BS 2026'!C31</f>
        <v>3628</v>
      </c>
      <c r="H49" s="6">
        <f>H4*(Assumptions!B41)</f>
        <v>4570.6251460368176</v>
      </c>
      <c r="I49" s="6">
        <f>I4*(Assumptions!C41)</f>
        <v>5007.3553441345457</v>
      </c>
      <c r="J49" s="6">
        <f>J4*(Assumptions!D41)</f>
        <v>5461.892756510515</v>
      </c>
      <c r="K49" s="6">
        <f>K4*(Assumptions!E41)</f>
        <v>5932.9004458232075</v>
      </c>
      <c r="L49" s="6">
        <f>L4*(Assumptions!F41)</f>
        <v>6418.9443433804345</v>
      </c>
    </row>
    <row r="50" spans="1:12" x14ac:dyDescent="0.2">
      <c r="A50" t="s">
        <v>280</v>
      </c>
      <c r="C50" s="6"/>
      <c r="D50" s="6"/>
      <c r="E50" s="6"/>
      <c r="F50" s="6"/>
      <c r="G50" s="6"/>
      <c r="H50" s="6">
        <f>SUM(H43:H49)</f>
        <v>87845.783322080082</v>
      </c>
      <c r="I50" s="6">
        <f t="shared" ref="I50:L50" si="17">SUM(I43:I49)</f>
        <v>90020.897509321221</v>
      </c>
      <c r="J50" s="6">
        <f t="shared" si="17"/>
        <v>92284.699688783992</v>
      </c>
      <c r="K50" s="6">
        <f t="shared" si="17"/>
        <v>94630.531306991557</v>
      </c>
      <c r="L50" s="6">
        <f t="shared" si="17"/>
        <v>97051.250052348696</v>
      </c>
    </row>
    <row r="51" spans="1:12" x14ac:dyDescent="0.2">
      <c r="A51" t="s">
        <v>164</v>
      </c>
      <c r="C51" s="10">
        <f t="shared" ref="C51:L51" si="18">C39+SUM(C43:C49)</f>
        <v>95209</v>
      </c>
      <c r="D51" s="10">
        <f t="shared" si="18"/>
        <v>98849</v>
      </c>
      <c r="E51" s="10">
        <f t="shared" si="18"/>
        <v>99823</v>
      </c>
      <c r="F51" s="10">
        <f t="shared" si="18"/>
        <v>102928</v>
      </c>
      <c r="G51" s="10">
        <f t="shared" si="18"/>
        <v>112305</v>
      </c>
      <c r="H51" s="10">
        <f t="shared" si="18"/>
        <v>114382.27700154387</v>
      </c>
      <c r="I51" s="10">
        <f t="shared" si="18"/>
        <v>120671.96904296194</v>
      </c>
      <c r="J51" s="10">
        <f t="shared" si="18"/>
        <v>128236.4144680629</v>
      </c>
      <c r="K51" s="10">
        <f t="shared" si="18"/>
        <v>137222.53364071622</v>
      </c>
      <c r="L51" s="10">
        <f t="shared" si="18"/>
        <v>147672.2531863738</v>
      </c>
    </row>
    <row r="52" spans="1:12" x14ac:dyDescent="0.2">
      <c r="A52" t="s">
        <v>165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t="s">
        <v>166</v>
      </c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t="s">
        <v>167</v>
      </c>
      <c r="C54" s="6">
        <f>'BS 2026'!G35</f>
        <v>5470</v>
      </c>
      <c r="D54" s="6">
        <f>'BS 2026'!F35</f>
        <v>6743</v>
      </c>
      <c r="E54" s="6">
        <f>'BS 2026'!E35</f>
        <v>6111</v>
      </c>
      <c r="F54" s="6">
        <f>'BS 2026'!D35</f>
        <v>6658</v>
      </c>
      <c r="G54" s="6">
        <f>'BS 2026'!C35</f>
        <v>8253</v>
      </c>
      <c r="H54" s="6">
        <f>(Assumptions!B32*Forecasting!H6)/365</f>
        <v>8082.7990338243762</v>
      </c>
      <c r="I54" s="6">
        <f>(Assumptions!C32*Forecasting!I6)/365</f>
        <v>8855.1227992696986</v>
      </c>
      <c r="J54" s="6">
        <f>(Assumptions!D32*Forecasting!J6)/365</f>
        <v>9658.9372535736547</v>
      </c>
      <c r="K54" s="6">
        <f>(Assumptions!E32*Forecasting!K6)/365</f>
        <v>10491.878125874588</v>
      </c>
      <c r="L54" s="6">
        <f>(Assumptions!F32*Forecasting!L6)/365</f>
        <v>11351.409375987774</v>
      </c>
    </row>
    <row r="55" spans="1:12" x14ac:dyDescent="0.2">
      <c r="A55" t="s">
        <v>169</v>
      </c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t="s">
        <v>170</v>
      </c>
      <c r="C56" s="6">
        <f>'BS 2026'!G36+'BS 2026'!G37</f>
        <v>16314</v>
      </c>
      <c r="D56" s="6">
        <f>'BS 2026'!F36+'BS 2026'!F37</f>
        <v>17966</v>
      </c>
      <c r="E56" s="6">
        <f>'BS 2026'!E36+'BS 2026'!E37</f>
        <v>19521</v>
      </c>
      <c r="F56" s="6">
        <f>'BS 2026'!D36+'BS 2026'!D37</f>
        <v>21322</v>
      </c>
      <c r="G56" s="6">
        <f>'BS 2026'!C36+'BS 2026'!C37</f>
        <v>24865</v>
      </c>
      <c r="H56" s="6">
        <f>H4*$H$152</f>
        <v>26601.415883713766</v>
      </c>
      <c r="I56" s="6">
        <f>I4*$H$152</f>
        <v>29143.221710570513</v>
      </c>
      <c r="J56" s="6">
        <f>J4*$H$152</f>
        <v>31788.66699540308</v>
      </c>
      <c r="K56" s="6">
        <f>K4*$H$152</f>
        <v>34529.970652452765</v>
      </c>
      <c r="L56" s="6">
        <f>L4*$H$152</f>
        <v>37358.786283476911</v>
      </c>
    </row>
    <row r="57" spans="1:12" x14ac:dyDescent="0.2">
      <c r="A57" t="s">
        <v>171</v>
      </c>
      <c r="C57" s="6">
        <f>'BS 2026'!G39</f>
        <v>4</v>
      </c>
      <c r="D57" s="6">
        <f>'BS 2026'!F39</f>
        <v>1182</v>
      </c>
      <c r="E57" s="6">
        <f>'BS 2026'!E39</f>
        <v>999</v>
      </c>
      <c r="F57" s="6">
        <f>'BS 2026'!D39</f>
        <v>0</v>
      </c>
      <c r="G57" s="6">
        <f>'BS 2026'!C39</f>
        <v>4000</v>
      </c>
      <c r="H57" s="6">
        <f>MAX(0,H75)</f>
        <v>695.0085124365869</v>
      </c>
      <c r="I57" s="6">
        <f t="shared" ref="I57:L57" si="19">MAX(0,I75)</f>
        <v>0</v>
      </c>
      <c r="J57" s="6">
        <f t="shared" si="19"/>
        <v>0</v>
      </c>
      <c r="K57" s="6">
        <f t="shared" si="19"/>
        <v>0</v>
      </c>
      <c r="L57" s="6">
        <f t="shared" si="19"/>
        <v>0</v>
      </c>
    </row>
    <row r="58" spans="1:12" x14ac:dyDescent="0.2">
      <c r="A58" t="s">
        <v>172</v>
      </c>
      <c r="C58" s="9">
        <f>SUM(C54:C57)</f>
        <v>21788</v>
      </c>
      <c r="D58" s="9">
        <f>SUM(D54:D57)</f>
        <v>25891</v>
      </c>
      <c r="E58" s="9">
        <f>SUM(E54:E57)</f>
        <v>26631</v>
      </c>
      <c r="F58" s="9">
        <f>SUM(F54:F57)</f>
        <v>27980</v>
      </c>
      <c r="G58" s="9">
        <f>SUM(G54:G57)</f>
        <v>37118</v>
      </c>
      <c r="H58" s="9">
        <f t="shared" ref="H58:L58" si="20">SUM(H54:H57)</f>
        <v>35379.223429974729</v>
      </c>
      <c r="I58" s="9">
        <f t="shared" si="20"/>
        <v>37998.344509840215</v>
      </c>
      <c r="J58" s="9">
        <f t="shared" si="20"/>
        <v>41447.604248976735</v>
      </c>
      <c r="K58" s="9">
        <f t="shared" si="20"/>
        <v>45021.848778327352</v>
      </c>
      <c r="L58" s="9">
        <f t="shared" si="20"/>
        <v>48710.195659464684</v>
      </c>
    </row>
    <row r="59" spans="1:12" x14ac:dyDescent="0.2">
      <c r="A59" t="s">
        <v>173</v>
      </c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t="s">
        <v>174</v>
      </c>
      <c r="C60" s="6">
        <f>'BS 2026'!G41</f>
        <v>10592</v>
      </c>
      <c r="D60" s="6">
        <f>'BS 2026'!F41</f>
        <v>9419</v>
      </c>
      <c r="E60" s="6">
        <f>'BS 2026'!E41</f>
        <v>8427</v>
      </c>
      <c r="F60" s="6">
        <f>'BS 2026'!D41</f>
        <v>8433</v>
      </c>
      <c r="G60" s="6">
        <f>'BS 2026'!C41</f>
        <v>10439</v>
      </c>
      <c r="H60" s="6">
        <f>G60+H111</f>
        <v>10001</v>
      </c>
      <c r="I60" s="6">
        <f>H60+I111</f>
        <v>9476.2000000000007</v>
      </c>
      <c r="J60" s="6">
        <f>I60+J111</f>
        <v>8847.2400000000016</v>
      </c>
      <c r="K60" s="6">
        <f>J60+K111</f>
        <v>8328.8880000000008</v>
      </c>
      <c r="L60" s="6">
        <f>K60+L111</f>
        <v>7906.865600000001</v>
      </c>
    </row>
    <row r="61" spans="1:12" x14ac:dyDescent="0.2">
      <c r="A61" t="s">
        <v>175</v>
      </c>
      <c r="C61" s="6">
        <f>'BS 2026'!G42</f>
        <v>2703</v>
      </c>
      <c r="D61" s="6">
        <f>'BS 2026'!F42</f>
        <v>2897</v>
      </c>
      <c r="E61" s="6">
        <f>'BS 2026'!E42</f>
        <v>2644</v>
      </c>
      <c r="F61" s="6">
        <f>'BS 2026'!D42</f>
        <v>2380</v>
      </c>
      <c r="G61" s="6">
        <f>'BS 2026'!C42</f>
        <v>2189</v>
      </c>
      <c r="H61" s="6">
        <f>G61*(1-0.05)</f>
        <v>2079.5499999999997</v>
      </c>
      <c r="I61" s="6">
        <f t="shared" ref="I61:L61" si="21">H61*(1-0.05)</f>
        <v>1975.5724999999995</v>
      </c>
      <c r="J61" s="6">
        <f t="shared" si="21"/>
        <v>1876.7938749999994</v>
      </c>
      <c r="K61" s="6">
        <f t="shared" si="21"/>
        <v>1782.9541812499992</v>
      </c>
      <c r="L61" s="6">
        <f t="shared" si="21"/>
        <v>1693.8064721874991</v>
      </c>
    </row>
    <row r="62" spans="1:12" x14ac:dyDescent="0.2">
      <c r="A62" t="s">
        <v>176</v>
      </c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">
      <c r="A63" t="s">
        <v>177</v>
      </c>
      <c r="C63" s="6">
        <f>'BS 2026'!G43</f>
        <v>1995</v>
      </c>
      <c r="D63" s="6">
        <f>'BS 2026'!F43</f>
        <v>2283</v>
      </c>
      <c r="E63" s="6">
        <f>'BS 2026'!E43</f>
        <v>2475</v>
      </c>
      <c r="F63" s="6">
        <f>'BS 2026'!D43</f>
        <v>2962</v>
      </c>
      <c r="G63" s="6">
        <f>'BS 2026'!C43</f>
        <v>3417</v>
      </c>
      <c r="H63" s="6">
        <f>G63</f>
        <v>3417</v>
      </c>
      <c r="I63" s="6">
        <f t="shared" ref="I63:L63" si="22">H63</f>
        <v>3417</v>
      </c>
      <c r="J63" s="6">
        <f t="shared" si="22"/>
        <v>3417</v>
      </c>
      <c r="K63" s="6">
        <f t="shared" si="22"/>
        <v>3417</v>
      </c>
      <c r="L63" s="6">
        <f t="shared" si="22"/>
        <v>3417</v>
      </c>
    </row>
    <row r="64" spans="1:12" x14ac:dyDescent="0.2">
      <c r="A64" t="s">
        <v>179</v>
      </c>
      <c r="C64" s="6">
        <f t="shared" ref="C64:G64" si="23">SUM(C60:C63)</f>
        <v>15290</v>
      </c>
      <c r="D64" s="6">
        <f t="shared" si="23"/>
        <v>14599</v>
      </c>
      <c r="E64" s="6">
        <f t="shared" si="23"/>
        <v>13546</v>
      </c>
      <c r="F64" s="6">
        <f t="shared" si="23"/>
        <v>13775</v>
      </c>
      <c r="G64" s="6">
        <f t="shared" si="23"/>
        <v>16045</v>
      </c>
      <c r="H64" s="6">
        <f>SUM(H60:H63)</f>
        <v>15497.55</v>
      </c>
      <c r="I64" s="6">
        <f t="shared" ref="I64:L64" si="24">SUM(I60:I63)</f>
        <v>14868.772500000001</v>
      </c>
      <c r="J64" s="6">
        <f t="shared" si="24"/>
        <v>14141.033875000001</v>
      </c>
      <c r="K64" s="6">
        <f t="shared" si="24"/>
        <v>13528.84218125</v>
      </c>
      <c r="L64" s="6">
        <f t="shared" si="24"/>
        <v>13017.672072187501</v>
      </c>
    </row>
    <row r="65" spans="1:13" x14ac:dyDescent="0.2">
      <c r="A65" t="s">
        <v>178</v>
      </c>
      <c r="C65" s="9">
        <f>C64+C58</f>
        <v>37078</v>
      </c>
      <c r="D65" s="9">
        <f>D64+D58</f>
        <v>40490</v>
      </c>
      <c r="E65" s="9">
        <f>E64+E58</f>
        <v>40177</v>
      </c>
      <c r="F65" s="9">
        <f>F64+F58</f>
        <v>41755</v>
      </c>
      <c r="G65" s="9">
        <f>G64+G58</f>
        <v>53163</v>
      </c>
      <c r="H65" s="9">
        <f t="shared" ref="H65:L65" si="25">H64+H58</f>
        <v>50876.773429974724</v>
      </c>
      <c r="I65" s="9">
        <f t="shared" si="25"/>
        <v>52867.117009840214</v>
      </c>
      <c r="J65" s="9">
        <f t="shared" si="25"/>
        <v>55588.638123976736</v>
      </c>
      <c r="K65" s="9">
        <f t="shared" si="25"/>
        <v>58550.690959577354</v>
      </c>
      <c r="L65" s="9">
        <f t="shared" si="25"/>
        <v>61727.867731652186</v>
      </c>
    </row>
    <row r="66" spans="1:13" x14ac:dyDescent="0.2">
      <c r="A66" t="s">
        <v>180</v>
      </c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3" x14ac:dyDescent="0.2">
      <c r="A67" t="s">
        <v>181</v>
      </c>
      <c r="C67" s="6">
        <f>'BS 2026'!G52</f>
        <v>1</v>
      </c>
      <c r="D67" s="6">
        <f>'BS 2026'!F52</f>
        <v>1</v>
      </c>
      <c r="E67" s="6">
        <f>'BS 2026'!E52</f>
        <v>1</v>
      </c>
      <c r="F67" s="6">
        <f>'BS 2026'!D52</f>
        <v>1</v>
      </c>
      <c r="G67" s="6">
        <f>'BS 2026'!C52</f>
        <v>1</v>
      </c>
      <c r="H67" s="6">
        <f>G67</f>
        <v>1</v>
      </c>
      <c r="I67" s="6">
        <f t="shared" ref="I67:L67" si="26">H67</f>
        <v>1</v>
      </c>
      <c r="J67" s="6">
        <f t="shared" si="26"/>
        <v>1</v>
      </c>
      <c r="K67" s="6">
        <f t="shared" si="26"/>
        <v>1</v>
      </c>
      <c r="L67" s="6">
        <f t="shared" si="26"/>
        <v>1</v>
      </c>
    </row>
    <row r="68" spans="1:13" x14ac:dyDescent="0.2">
      <c r="A68" t="s">
        <v>182</v>
      </c>
      <c r="C68" s="6">
        <f>'BS 2026'!G55</f>
        <v>50919</v>
      </c>
      <c r="D68" s="6">
        <f>'BS 2026'!F55</f>
        <v>55047</v>
      </c>
      <c r="E68" s="6">
        <f>'BS 2026'!E55</f>
        <v>59841</v>
      </c>
      <c r="F68" s="6">
        <f>'BS 2026'!D55</f>
        <v>64576</v>
      </c>
      <c r="G68" s="6">
        <f>'BS 2026'!C55</f>
        <v>68835</v>
      </c>
      <c r="H68" s="6">
        <f>G68+H82+H109</f>
        <v>73840.440348330914</v>
      </c>
      <c r="I68" s="6">
        <f>H68+I82+I109</f>
        <v>79324.158149974406</v>
      </c>
      <c r="J68" s="6">
        <f>I68+J82+J109</f>
        <v>85305.654664822025</v>
      </c>
      <c r="K68" s="6">
        <f>J68+K82+K109</f>
        <v>91802.967029171996</v>
      </c>
      <c r="L68" s="6">
        <f>K68+L82+L109</f>
        <v>98832.561884026043</v>
      </c>
      <c r="M68" s="6"/>
    </row>
    <row r="69" spans="1:13" x14ac:dyDescent="0.2">
      <c r="A69" t="s">
        <v>50</v>
      </c>
      <c r="C69" s="6">
        <f>'BS 2026'!G57</f>
        <v>7377</v>
      </c>
      <c r="D69" s="6">
        <f>'BS 2026'!F57</f>
        <v>7585</v>
      </c>
      <c r="E69" s="6">
        <f>'BS 2026'!E57</f>
        <v>11721</v>
      </c>
      <c r="F69" s="6">
        <f>'BS 2026'!D57</f>
        <v>16369</v>
      </c>
      <c r="G69" s="6">
        <f>'BS 2026'!C57</f>
        <v>22221</v>
      </c>
      <c r="H69" s="6">
        <f>G69+H27+H112</f>
        <v>27988.063223238227</v>
      </c>
      <c r="I69" s="6">
        <f>H69+I27+I112</f>
        <v>34494.493883147305</v>
      </c>
      <c r="J69" s="6">
        <f>I69+J27+J112</f>
        <v>41784.881679264159</v>
      </c>
      <c r="K69" s="6">
        <f>J69+K27+K112</f>
        <v>49902.387651966914</v>
      </c>
      <c r="L69" s="6">
        <f>K69+L27+L112</f>
        <v>58888.437970695581</v>
      </c>
    </row>
    <row r="70" spans="1:13" x14ac:dyDescent="0.2">
      <c r="A70" t="s">
        <v>49</v>
      </c>
      <c r="C70" s="6">
        <f>'BS 2026'!G56</f>
        <v>-166</v>
      </c>
      <c r="D70" s="6">
        <f>'BS 2026'!F56</f>
        <v>-274</v>
      </c>
      <c r="E70" s="6">
        <f>'BS 2026'!E56</f>
        <v>-225</v>
      </c>
      <c r="F70" s="6">
        <f>'BS 2026'!D56</f>
        <v>-266</v>
      </c>
      <c r="G70" s="6">
        <f>'BS 2026'!C56</f>
        <v>313</v>
      </c>
      <c r="H70" s="6">
        <f>G70</f>
        <v>313</v>
      </c>
      <c r="I70" s="6">
        <f t="shared" ref="I70:L70" si="27">H70</f>
        <v>313</v>
      </c>
      <c r="J70" s="6">
        <f t="shared" si="27"/>
        <v>313</v>
      </c>
      <c r="K70" s="6">
        <f t="shared" si="27"/>
        <v>313</v>
      </c>
      <c r="L70" s="6">
        <f t="shared" si="27"/>
        <v>313</v>
      </c>
    </row>
    <row r="71" spans="1:13" x14ac:dyDescent="0.2">
      <c r="A71" t="s">
        <v>47</v>
      </c>
      <c r="C71" s="6"/>
      <c r="D71" s="6">
        <f>'BS 2026'!F54</f>
        <v>-4000</v>
      </c>
      <c r="E71" s="6">
        <f>'BS 2026'!E54</f>
        <v>-11692</v>
      </c>
      <c r="F71" s="6">
        <f>'BS 2026'!D54</f>
        <v>-19507</v>
      </c>
      <c r="G71" s="6">
        <f>'BS 2026'!C54</f>
        <v>-32228</v>
      </c>
      <c r="H71" s="6">
        <f>G71+H106</f>
        <v>-38637</v>
      </c>
      <c r="I71" s="6">
        <f>H71+I106</f>
        <v>-46327.8</v>
      </c>
      <c r="J71" s="6">
        <f>I71+J106</f>
        <v>-54756.76</v>
      </c>
      <c r="K71" s="6">
        <f>J71+K106</f>
        <v>-63347.512000000002</v>
      </c>
      <c r="L71" s="6">
        <f>K71+L106</f>
        <v>-72090.614400000006</v>
      </c>
    </row>
    <row r="72" spans="1:13" x14ac:dyDescent="0.2">
      <c r="A72" t="s">
        <v>183</v>
      </c>
      <c r="C72" s="6">
        <f>SUM(C67:C71)</f>
        <v>58131</v>
      </c>
      <c r="D72" s="6">
        <f t="shared" ref="D72:F72" si="28">SUM(D67:D71)</f>
        <v>58359</v>
      </c>
      <c r="E72" s="6">
        <f t="shared" si="28"/>
        <v>59646</v>
      </c>
      <c r="F72" s="6">
        <f t="shared" si="28"/>
        <v>61173</v>
      </c>
      <c r="G72" s="6">
        <f>SUM(G67:G71)</f>
        <v>59142</v>
      </c>
      <c r="H72" s="6">
        <f>SUM(H67:H71)</f>
        <v>63505.503571569134</v>
      </c>
      <c r="I72" s="6">
        <f t="shared" ref="I72:L72" si="29">SUM(I67:I71)</f>
        <v>67804.852033121701</v>
      </c>
      <c r="J72" s="6">
        <f t="shared" si="29"/>
        <v>72647.776344086189</v>
      </c>
      <c r="K72" s="6">
        <f t="shared" si="29"/>
        <v>78671.842681138907</v>
      </c>
      <c r="L72" s="6">
        <f t="shared" si="29"/>
        <v>85944.385454721618</v>
      </c>
    </row>
    <row r="73" spans="1:13" x14ac:dyDescent="0.2">
      <c r="A73" t="s">
        <v>184</v>
      </c>
      <c r="C73" s="10">
        <f>C72+C65</f>
        <v>95209</v>
      </c>
      <c r="D73" s="10">
        <f>D72+D65</f>
        <v>98849</v>
      </c>
      <c r="E73" s="10">
        <f>E72+E65</f>
        <v>99823</v>
      </c>
      <c r="F73" s="10">
        <f>F72+F65</f>
        <v>102928</v>
      </c>
      <c r="G73" s="10">
        <f>G72+G65</f>
        <v>112305</v>
      </c>
      <c r="H73" s="10">
        <f t="shared" ref="H73:K73" si="30">H72+H65</f>
        <v>114382.27700154386</v>
      </c>
      <c r="I73" s="10">
        <f t="shared" si="30"/>
        <v>120671.96904296192</v>
      </c>
      <c r="J73" s="10">
        <f t="shared" si="30"/>
        <v>128236.41446806293</v>
      </c>
      <c r="K73" s="10">
        <f t="shared" si="30"/>
        <v>137222.53364071625</v>
      </c>
      <c r="L73" s="10">
        <f>L72+L65</f>
        <v>147672.2531863738</v>
      </c>
    </row>
    <row r="74" spans="1:13" x14ac:dyDescent="0.2">
      <c r="A74" t="s">
        <v>269</v>
      </c>
      <c r="C74" s="6"/>
      <c r="D74" s="6"/>
      <c r="E74" s="6"/>
      <c r="F74" s="6"/>
      <c r="G74" s="6"/>
      <c r="H74" s="6">
        <f>H73-H51</f>
        <v>0</v>
      </c>
      <c r="I74" s="6">
        <f>I73-I51</f>
        <v>0</v>
      </c>
      <c r="J74" s="6">
        <f>J73-J51</f>
        <v>0</v>
      </c>
      <c r="K74" s="6">
        <f>K73-K51</f>
        <v>0</v>
      </c>
      <c r="L74" s="6">
        <f>L73-L51</f>
        <v>0</v>
      </c>
    </row>
    <row r="75" spans="1:13" x14ac:dyDescent="0.2">
      <c r="A75" t="s">
        <v>282</v>
      </c>
      <c r="C75" s="6"/>
      <c r="D75" s="6"/>
      <c r="E75" s="6"/>
      <c r="F75" s="6"/>
      <c r="G75" s="6"/>
      <c r="H75" s="6">
        <f>(H33+H35+H37+H38+H43+H44+H45+H46+H47+H48+H49) - (H54+H56+H60+H61+H63+H67+H68+H69+H70+H71)</f>
        <v>695.0085124365869</v>
      </c>
      <c r="I75" s="6">
        <f t="shared" ref="I75:L75" si="31">(I33+I35+I37+I38+I43+I44+I45+I46+I47+I48+I49) - (I54+I56+I60+I61+I63+I67+I68+I69+I70+I71)</f>
        <v>-2167.6621299200779</v>
      </c>
      <c r="J75" s="6">
        <f t="shared" si="31"/>
        <v>-5136.3607423642825</v>
      </c>
      <c r="K75" s="6">
        <f t="shared" si="31"/>
        <v>-8267.8240531144256</v>
      </c>
      <c r="L75" s="6">
        <f t="shared" si="31"/>
        <v>-11690.226119702886</v>
      </c>
    </row>
    <row r="76" spans="1:13" x14ac:dyDescent="0.2">
      <c r="C76" s="6"/>
    </row>
    <row r="77" spans="1:13" x14ac:dyDescent="0.2">
      <c r="A77" t="s">
        <v>129</v>
      </c>
    </row>
    <row r="78" spans="1:13" x14ac:dyDescent="0.2">
      <c r="A78" t="s">
        <v>83</v>
      </c>
    </row>
    <row r="79" spans="1:13" x14ac:dyDescent="0.2">
      <c r="A79" t="s">
        <v>185</v>
      </c>
      <c r="C79">
        <f>'CF26'!G16</f>
        <v>1444</v>
      </c>
      <c r="D79">
        <f>'CF26'!F16</f>
        <v>208</v>
      </c>
      <c r="E79">
        <f>'CF26'!E16</f>
        <v>4136</v>
      </c>
      <c r="F79">
        <f>'CF26'!D16</f>
        <v>6197</v>
      </c>
      <c r="G79">
        <f>'CF26'!C16</f>
        <v>7457</v>
      </c>
      <c r="H79" s="6">
        <f>H27</f>
        <v>7433.4132232382244</v>
      </c>
      <c r="I79" s="6">
        <f>I27</f>
        <v>8256.098159909081</v>
      </c>
      <c r="J79" s="6">
        <f>J27</f>
        <v>9127.5386711168521</v>
      </c>
      <c r="K79" s="6">
        <f>K27</f>
        <v>10046.514391452762</v>
      </c>
      <c r="L79" s="6">
        <f>L27</f>
        <v>11011.509158416167</v>
      </c>
    </row>
    <row r="80" spans="1:13" x14ac:dyDescent="0.2">
      <c r="A80" t="s">
        <v>186</v>
      </c>
      <c r="C80" s="6">
        <f>'CF26'!G19</f>
        <v>3298</v>
      </c>
      <c r="D80" s="6">
        <f>'CF26'!F19</f>
        <v>3786</v>
      </c>
      <c r="E80" s="6">
        <f>'CF26'!E19</f>
        <v>3959</v>
      </c>
      <c r="F80" s="6">
        <f>'CF26'!D19</f>
        <v>3477</v>
      </c>
      <c r="G80" s="6">
        <f>'CF26'!C19</f>
        <v>3631</v>
      </c>
      <c r="H80" s="8">
        <f>H4*Assumptions!B26</f>
        <v>3996.2079825834544</v>
      </c>
      <c r="I80" s="8">
        <f>I4*Assumptions!C26</f>
        <v>4378.0517453314687</v>
      </c>
      <c r="J80" s="8">
        <f>J4*Assumptions!D26</f>
        <v>4775.4647857105729</v>
      </c>
      <c r="K80" s="8">
        <f>K4*Assumptions!E26</f>
        <v>5187.278187105273</v>
      </c>
      <c r="L80" s="8">
        <f>L4*Assumptions!F26</f>
        <v>5612.2381086136811</v>
      </c>
    </row>
    <row r="81" spans="1:13" x14ac:dyDescent="0.2">
      <c r="A81" t="s">
        <v>272</v>
      </c>
      <c r="C81" s="6">
        <f>'CF26'!G21</f>
        <v>1348</v>
      </c>
      <c r="D81" s="6">
        <f>'CF26'!F21</f>
        <v>1668</v>
      </c>
      <c r="E81" s="6">
        <f>'CF26'!E21</f>
        <v>1925</v>
      </c>
      <c r="F81" s="6">
        <f>'CF26'!D21</f>
        <v>2095</v>
      </c>
      <c r="G81" s="6">
        <f>'CF26'!C21</f>
        <v>2197</v>
      </c>
      <c r="H81" s="8">
        <f>H4*$H$147</f>
        <v>2417.9754716981133</v>
      </c>
      <c r="I81" s="8">
        <f>I4*$H$147</f>
        <v>2649.016712887149</v>
      </c>
      <c r="J81" s="8">
        <f>J4*$H$147</f>
        <v>2889.4784175726049</v>
      </c>
      <c r="K81" s="8">
        <f>K4*$H$147</f>
        <v>3138.6533123300146</v>
      </c>
      <c r="L81" s="8">
        <f>L4*$H$147</f>
        <v>3395.7827388114179</v>
      </c>
    </row>
    <row r="82" spans="1:13" x14ac:dyDescent="0.2">
      <c r="A82" t="s">
        <v>89</v>
      </c>
      <c r="C82" s="6">
        <f>'CF26'!G22</f>
        <v>2779</v>
      </c>
      <c r="D82" s="6">
        <f>'CF26'!F22</f>
        <v>3279</v>
      </c>
      <c r="E82" s="6">
        <f>'CF26'!E22</f>
        <v>2787</v>
      </c>
      <c r="F82" s="6">
        <f>'CF26'!D22</f>
        <v>3183</v>
      </c>
      <c r="G82" s="6">
        <f>'CF26'!C22</f>
        <v>3509</v>
      </c>
      <c r="H82" s="8">
        <f>H4*$H$149</f>
        <v>3861.9371552975326</v>
      </c>
      <c r="I82" s="8">
        <f>I4*$H$149</f>
        <v>4230.9511358766522</v>
      </c>
      <c r="J82" s="8">
        <f>J4*$H$149</f>
        <v>4615.0112732190582</v>
      </c>
      <c r="K82" s="8">
        <f>K4*$H$149</f>
        <v>5012.987925792454</v>
      </c>
      <c r="L82" s="8">
        <f>L4*$H$149</f>
        <v>5423.6693811967525</v>
      </c>
    </row>
    <row r="83" spans="1:13" x14ac:dyDescent="0.2">
      <c r="A83" t="s">
        <v>90</v>
      </c>
      <c r="C83" s="6">
        <f>'CF26'!G24</f>
        <v>-1211</v>
      </c>
      <c r="D83" s="6">
        <f>'CF26'!F24</f>
        <v>239</v>
      </c>
      <c r="E83" s="6">
        <f>'CF26'!E24</f>
        <v>277</v>
      </c>
      <c r="F83" s="6">
        <f>'CF26'!D24</f>
        <v>121</v>
      </c>
      <c r="G83" s="6">
        <f>'CF26'!C24</f>
        <v>-1017</v>
      </c>
      <c r="H83" s="6">
        <f>H22</f>
        <v>0</v>
      </c>
      <c r="I83" s="6">
        <f>I22</f>
        <v>0</v>
      </c>
      <c r="J83" s="6">
        <f>J22</f>
        <v>0</v>
      </c>
      <c r="K83" s="6">
        <f>K22</f>
        <v>0</v>
      </c>
      <c r="L83" s="6">
        <f>L22</f>
        <v>0</v>
      </c>
    </row>
    <row r="84" spans="1:13" x14ac:dyDescent="0.2">
      <c r="A84" t="s">
        <v>187</v>
      </c>
    </row>
    <row r="85" spans="1:13" x14ac:dyDescent="0.2">
      <c r="A85" t="s">
        <v>268</v>
      </c>
      <c r="C85" s="6">
        <f>'CF26'!G28</f>
        <v>-1824</v>
      </c>
      <c r="D85" s="6">
        <f>'CF26'!F28</f>
        <v>-995</v>
      </c>
      <c r="E85" s="6">
        <f>'CF26'!E28</f>
        <v>-659</v>
      </c>
      <c r="F85" s="6">
        <f>'CF26'!D28</f>
        <v>-490</v>
      </c>
      <c r="G85" s="6">
        <f>'CF26'!C28</f>
        <v>-2160</v>
      </c>
      <c r="H85" s="6">
        <f>-(H35-G35)</f>
        <v>-1187.0794361692351</v>
      </c>
      <c r="I85" s="6">
        <f>-(I35-H35)</f>
        <v>-1483.5405510597993</v>
      </c>
      <c r="J85" s="6">
        <f>-(J35-I35)</f>
        <v>-1544.030355974257</v>
      </c>
      <c r="K85" s="6">
        <f>-(K35-J35)</f>
        <v>-1599.9786824908151</v>
      </c>
      <c r="L85" s="6">
        <f>-(L35-K35)</f>
        <v>-1651.0555825130941</v>
      </c>
    </row>
    <row r="86" spans="1:13" x14ac:dyDescent="0.2">
      <c r="A86" t="s">
        <v>17</v>
      </c>
      <c r="C86" s="6">
        <f>'CF26'!G29</f>
        <v>-2283</v>
      </c>
      <c r="D86" s="6">
        <f>'CF26'!F29</f>
        <v>-2345</v>
      </c>
      <c r="E86" s="6">
        <f>'CF26'!E29</f>
        <v>-1872</v>
      </c>
      <c r="F86" s="6">
        <f>'CF26'!D29</f>
        <v>-2121</v>
      </c>
      <c r="G86" s="6">
        <f>'CF26'!C29</f>
        <v>-2811</v>
      </c>
      <c r="H86" s="6">
        <f>G47-H47</f>
        <v>-522.83286479588651</v>
      </c>
      <c r="I86" s="6">
        <f>H47-I47</f>
        <v>-335.17877598525047</v>
      </c>
      <c r="J86" s="6">
        <f>I47-J47</f>
        <v>-348.84533788430372</v>
      </c>
      <c r="K86" s="6">
        <f>J47-K47</f>
        <v>-361.48583604045143</v>
      </c>
      <c r="L86" s="6">
        <f>K47-L47</f>
        <v>-373.02572473332202</v>
      </c>
      <c r="M86" s="2"/>
    </row>
    <row r="87" spans="1:13" x14ac:dyDescent="0.2">
      <c r="A87" t="s">
        <v>93</v>
      </c>
      <c r="C87" s="6">
        <f>'CF26'!G30</f>
        <v>114</v>
      </c>
      <c r="D87" s="6">
        <f>'CF26'!F30</f>
        <v>-302</v>
      </c>
      <c r="E87" s="6">
        <f>'CF26'!E30</f>
        <v>-843</v>
      </c>
      <c r="F87" s="6">
        <f>'CF26'!D30</f>
        <v>-1495</v>
      </c>
      <c r="G87" s="6">
        <f>'CF26'!C30</f>
        <v>819</v>
      </c>
      <c r="H87" s="6">
        <f>G37-H37+(G38-H38)</f>
        <v>-247.0181313039343</v>
      </c>
      <c r="I87" s="6">
        <f>H37-I37+(H38-I38)</f>
        <v>-536.21869070718594</v>
      </c>
      <c r="J87" s="6">
        <f>I37-J37+(I38-J38)</f>
        <v>-574.34532927855616</v>
      </c>
      <c r="K87" s="6">
        <f>J37-K37+(J38-K38)</f>
        <v>-612.73559575257877</v>
      </c>
      <c r="L87" s="6">
        <f>K37-L37+(K38-L38)</f>
        <v>-651.23049590455685</v>
      </c>
      <c r="M87" s="4"/>
    </row>
    <row r="88" spans="1:13" x14ac:dyDescent="0.2">
      <c r="A88" t="s">
        <v>188</v>
      </c>
      <c r="C88" s="6">
        <f>'CF26'!G32</f>
        <v>507</v>
      </c>
      <c r="D88" s="6">
        <f>'CF26'!F32</f>
        <v>528</v>
      </c>
      <c r="E88" s="6">
        <f>'CF26'!E32</f>
        <v>-478</v>
      </c>
      <c r="F88" s="6">
        <f>'CF26'!D32</f>
        <v>1089</v>
      </c>
      <c r="G88" s="6">
        <f>'CF26'!C32</f>
        <v>1014</v>
      </c>
      <c r="H88" s="6">
        <f>H54-G54</f>
        <v>-170.20096617562376</v>
      </c>
      <c r="I88" s="6">
        <f>I54-H54</f>
        <v>772.32376544532235</v>
      </c>
      <c r="J88" s="6">
        <f>J54-I54</f>
        <v>803.81445430395615</v>
      </c>
      <c r="K88" s="6">
        <f>K54-J54</f>
        <v>832.94087230093282</v>
      </c>
      <c r="L88" s="6">
        <f>L54-K54</f>
        <v>859.53125011318662</v>
      </c>
      <c r="M88" s="2"/>
    </row>
    <row r="89" spans="1:13" x14ac:dyDescent="0.2">
      <c r="A89" t="s">
        <v>95</v>
      </c>
      <c r="C89" s="6">
        <f>'CF26'!G33</f>
        <v>-801</v>
      </c>
      <c r="D89" s="6">
        <f>'CF26'!F33</f>
        <v>-699</v>
      </c>
      <c r="E89" s="6">
        <f>'CF26'!E33</f>
        <v>-621</v>
      </c>
      <c r="F89" s="6">
        <f>'CF26'!D33</f>
        <v>-548</v>
      </c>
      <c r="G89" s="6">
        <f>'CF26'!C33</f>
        <v>-567</v>
      </c>
      <c r="H89" s="6">
        <f>H61-G61</f>
        <v>-109.45000000000027</v>
      </c>
      <c r="I89" s="6">
        <f>I61-H61</f>
        <v>-103.97750000000019</v>
      </c>
      <c r="J89" s="6">
        <f>J61-I61</f>
        <v>-98.778625000000147</v>
      </c>
      <c r="K89" s="6">
        <f>K61-J61</f>
        <v>-93.839693750000151</v>
      </c>
      <c r="L89" s="6">
        <f>L61-K61</f>
        <v>-89.147709062500098</v>
      </c>
      <c r="M89" s="2"/>
    </row>
    <row r="90" spans="1:13" x14ac:dyDescent="0.2">
      <c r="A90" t="s">
        <v>274</v>
      </c>
      <c r="C90" s="6">
        <f>'CF26'!G34</f>
        <v>2629</v>
      </c>
      <c r="D90" s="6">
        <f>'CF26'!F34</f>
        <v>1744</v>
      </c>
      <c r="E90" s="6">
        <f>'CF26'!E34</f>
        <v>1623</v>
      </c>
      <c r="F90" s="6">
        <f>'CF26'!D34</f>
        <v>1584</v>
      </c>
      <c r="G90" s="6">
        <f>'CF26'!C34</f>
        <v>2924</v>
      </c>
      <c r="H90" s="6">
        <f>H56-G56</f>
        <v>1736.4158837137657</v>
      </c>
      <c r="I90" s="6">
        <f>I56-H56</f>
        <v>2541.8058268567474</v>
      </c>
      <c r="J90" s="6">
        <f>J56-I56</f>
        <v>2645.4452848325673</v>
      </c>
      <c r="K90" s="6">
        <f>K56-J56</f>
        <v>2741.3036570496843</v>
      </c>
      <c r="L90" s="6">
        <f>L56-K56</f>
        <v>2828.8156310241466</v>
      </c>
      <c r="M90" s="2"/>
    </row>
    <row r="91" spans="1:13" x14ac:dyDescent="0.2">
      <c r="A91" t="s">
        <v>189</v>
      </c>
      <c r="C91" s="17">
        <f>SUM(C79:C90)</f>
        <v>6000</v>
      </c>
      <c r="D91" s="17">
        <f t="shared" ref="D91:L91" si="32">SUM(D79:D90)</f>
        <v>7111</v>
      </c>
      <c r="E91" s="17">
        <f t="shared" si="32"/>
        <v>10234</v>
      </c>
      <c r="F91" s="17">
        <f t="shared" si="32"/>
        <v>13092</v>
      </c>
      <c r="G91" s="17">
        <f t="shared" si="32"/>
        <v>14996</v>
      </c>
      <c r="H91" s="17">
        <f>SUM(H79:H90)</f>
        <v>17209.36831808641</v>
      </c>
      <c r="I91" s="17">
        <f>SUM(I79:I90)</f>
        <v>20369.331828554183</v>
      </c>
      <c r="J91" s="17">
        <f t="shared" si="32"/>
        <v>22290.753238618494</v>
      </c>
      <c r="K91" s="17">
        <f t="shared" si="32"/>
        <v>24291.638537997274</v>
      </c>
      <c r="L91" s="17">
        <f t="shared" si="32"/>
        <v>26367.086755961875</v>
      </c>
      <c r="M91" s="4"/>
    </row>
    <row r="93" spans="1:13" x14ac:dyDescent="0.2">
      <c r="A93" t="s">
        <v>190</v>
      </c>
    </row>
    <row r="94" spans="1:13" x14ac:dyDescent="0.2">
      <c r="A94" t="s">
        <v>98</v>
      </c>
      <c r="C94" s="6">
        <f>'CF26'!G37</f>
        <v>-14876</v>
      </c>
      <c r="D94" s="6">
        <f>'CF26'!F37</f>
        <v>-439</v>
      </c>
      <c r="E94" s="6">
        <f>'CF26'!E37</f>
        <v>-82</v>
      </c>
      <c r="F94" s="6">
        <f>'CF26'!D37</f>
        <v>-2734</v>
      </c>
      <c r="G94" s="6">
        <f>'CF26'!C37</f>
        <v>-9268</v>
      </c>
      <c r="H94" s="6">
        <f>G94/G4*H4</f>
        <v>-10200.180551523947</v>
      </c>
      <c r="I94" s="6">
        <f>H94/H4*I4</f>
        <v>-11174.823347764266</v>
      </c>
      <c r="J94" s="6">
        <f>I94/I4*J4</f>
        <v>-12189.206178453755</v>
      </c>
      <c r="K94" s="6">
        <f>J94/J4*K4</f>
        <v>-13240.345424977048</v>
      </c>
      <c r="L94" s="6">
        <f>K94/K4*L4</f>
        <v>-14325.040702459815</v>
      </c>
    </row>
    <row r="95" spans="1:13" x14ac:dyDescent="0.2">
      <c r="A95" t="s">
        <v>99</v>
      </c>
      <c r="C95" s="6">
        <f>'CF26'!G38</f>
        <v>-1718</v>
      </c>
      <c r="D95" s="6">
        <f>'CF26'!F38</f>
        <v>-550</v>
      </c>
      <c r="E95" s="6">
        <f>'CF26'!E38</f>
        <v>-496</v>
      </c>
      <c r="F95" s="6">
        <f>'CF26'!D38</f>
        <v>-539</v>
      </c>
      <c r="G95" s="6">
        <f>'CF26'!C38</f>
        <v>-1958</v>
      </c>
      <c r="H95" s="6">
        <f>MIN(0,H48-G48)</f>
        <v>0</v>
      </c>
      <c r="I95" s="6">
        <f>MIN(0,I48-H48)</f>
        <v>0</v>
      </c>
      <c r="J95" s="6">
        <f>MIN(0,J48-I48)</f>
        <v>0</v>
      </c>
      <c r="K95" s="6">
        <f>MIN(0,K48-J48)</f>
        <v>0</v>
      </c>
      <c r="L95" s="6">
        <f>MIN(0,L48-K48)</f>
        <v>0</v>
      </c>
    </row>
    <row r="96" spans="1:13" x14ac:dyDescent="0.2">
      <c r="A96" t="s">
        <v>100</v>
      </c>
      <c r="C96" s="6">
        <f>'CF26'!G39</f>
        <v>2201</v>
      </c>
      <c r="D96" s="6">
        <f>'CF26'!F39</f>
        <v>355</v>
      </c>
      <c r="E96" s="6">
        <f>'CF26'!E39</f>
        <v>108</v>
      </c>
      <c r="F96" s="6">
        <f>'CF26'!D39</f>
        <v>126</v>
      </c>
      <c r="G96" s="6">
        <f>'CF26'!C39</f>
        <v>184</v>
      </c>
      <c r="H96" s="6">
        <f>MAX(0,H48-G48)</f>
        <v>0</v>
      </c>
      <c r="I96" s="6">
        <f>MAX(0,I48-H48)</f>
        <v>0</v>
      </c>
      <c r="J96" s="6">
        <f>MAX(0,J48-I48)</f>
        <v>0</v>
      </c>
      <c r="K96" s="6">
        <f>MAX(0,K48-J48)</f>
        <v>0</v>
      </c>
      <c r="L96" s="6">
        <f>MAX(0,L48-K48)</f>
        <v>0</v>
      </c>
    </row>
    <row r="97" spans="1:13" x14ac:dyDescent="0.2">
      <c r="A97" t="s">
        <v>101</v>
      </c>
      <c r="C97" s="6">
        <f>'CF26'!G40</f>
        <v>-5674</v>
      </c>
      <c r="D97" s="6">
        <f>'CF26'!F40</f>
        <v>-4777</v>
      </c>
      <c r="E97" s="6">
        <f>'CF26'!E40</f>
        <v>-3761</v>
      </c>
      <c r="F97" s="6">
        <f>'CF26'!D40</f>
        <v>-6879</v>
      </c>
      <c r="G97" s="6">
        <f>'CF26'!C40</f>
        <v>-3763</v>
      </c>
      <c r="H97" s="6">
        <f>AVERAGE(C97:G97)</f>
        <v>-4970.8</v>
      </c>
      <c r="I97" s="6">
        <f t="shared" ref="I97:L97" si="33">AVERAGE(D97:H97)</f>
        <v>-4830.16</v>
      </c>
      <c r="J97" s="6">
        <f t="shared" si="33"/>
        <v>-4840.7919999999995</v>
      </c>
      <c r="K97" s="6">
        <f t="shared" si="33"/>
        <v>-5056.7503999999999</v>
      </c>
      <c r="L97" s="6">
        <f t="shared" si="33"/>
        <v>-4692.3004799999999</v>
      </c>
    </row>
    <row r="98" spans="1:13" x14ac:dyDescent="0.2">
      <c r="A98" t="s">
        <v>102</v>
      </c>
      <c r="C98" s="6">
        <f>'CF26'!G41</f>
        <v>4179</v>
      </c>
      <c r="D98" s="6">
        <f>'CF26'!F41</f>
        <v>1771</v>
      </c>
      <c r="E98" s="6">
        <f>'CF26'!E41</f>
        <v>1511</v>
      </c>
      <c r="F98" s="6">
        <f>'CF26'!D41</f>
        <v>4143</v>
      </c>
      <c r="G98" s="6">
        <f>'CF26'!C41</f>
        <v>4414</v>
      </c>
      <c r="H98" s="6">
        <f>AVERAGE(C98:G98)</f>
        <v>3203.6</v>
      </c>
      <c r="I98" s="6">
        <f t="shared" ref="I98:I99" si="34">AVERAGE(D98:H98)</f>
        <v>3008.52</v>
      </c>
      <c r="J98" s="6">
        <f t="shared" ref="J98:J99" si="35">AVERAGE(E98:I98)</f>
        <v>3256.0240000000003</v>
      </c>
      <c r="K98" s="6">
        <f t="shared" ref="K98:K99" si="36">AVERAGE(F98:J98)</f>
        <v>3605.0288</v>
      </c>
      <c r="L98" s="6">
        <f t="shared" ref="L98:L99" si="37">AVERAGE(G98:K98)</f>
        <v>3497.4345600000001</v>
      </c>
    </row>
    <row r="99" spans="1:13" x14ac:dyDescent="0.2">
      <c r="A99" t="s">
        <v>103</v>
      </c>
      <c r="C99" s="6">
        <f>'CF26'!G42</f>
        <v>2069</v>
      </c>
      <c r="D99" s="6">
        <f>'CF26'!F42</f>
        <v>2449</v>
      </c>
      <c r="E99" s="6">
        <f>'CF26'!E42</f>
        <v>2129</v>
      </c>
      <c r="F99" s="6">
        <f>'CF26'!D42</f>
        <v>3378</v>
      </c>
      <c r="G99" s="6">
        <f>'CF26'!C42</f>
        <v>2395</v>
      </c>
      <c r="H99" s="6">
        <f t="shared" ref="H99" si="38">AVERAGE(C99:G99)</f>
        <v>2484</v>
      </c>
      <c r="I99" s="6">
        <f t="shared" si="34"/>
        <v>2567</v>
      </c>
      <c r="J99" s="6">
        <f t="shared" si="35"/>
        <v>2590.6</v>
      </c>
      <c r="K99" s="6">
        <f t="shared" si="36"/>
        <v>2682.92</v>
      </c>
      <c r="L99" s="6">
        <f t="shared" si="37"/>
        <v>2543.904</v>
      </c>
    </row>
    <row r="100" spans="1:13" x14ac:dyDescent="0.2">
      <c r="A100" t="s">
        <v>191</v>
      </c>
      <c r="C100" s="6">
        <f>'CF26'!G43</f>
        <v>-717</v>
      </c>
      <c r="D100" s="6">
        <f>'CF26'!F43</f>
        <v>-798</v>
      </c>
      <c r="E100" s="6">
        <f>'CF26'!E43</f>
        <v>-736</v>
      </c>
      <c r="F100" s="6">
        <f>'CF26'!D43</f>
        <v>-658</v>
      </c>
      <c r="G100" s="6">
        <f>'CF26'!C43</f>
        <v>-594</v>
      </c>
      <c r="H100" s="6">
        <f>Assumptions!B28*Forecasting!H4</f>
        <v>-653.74484760522489</v>
      </c>
      <c r="I100" s="6">
        <f>Assumptions!C28*Forecasting!I4</f>
        <v>-716.21116406689407</v>
      </c>
      <c r="J100" s="6">
        <f>Assumptions!D28*Forecasting!J4</f>
        <v>-781.22447885212887</v>
      </c>
      <c r="K100" s="6">
        <f>Assumptions!E28*Forecasting!K4</f>
        <v>-848.59356737552514</v>
      </c>
      <c r="L100" s="6">
        <f>Assumptions!F28*Forecasting!L4</f>
        <v>-918.11331217750671</v>
      </c>
    </row>
    <row r="101" spans="1:13" x14ac:dyDescent="0.2">
      <c r="A101" t="s">
        <v>192</v>
      </c>
      <c r="C101" s="10">
        <f t="shared" ref="C101:L101" si="39">SUM(C94:C100)</f>
        <v>-14536</v>
      </c>
      <c r="D101" s="10">
        <f t="shared" si="39"/>
        <v>-1989</v>
      </c>
      <c r="E101" s="10">
        <f t="shared" si="39"/>
        <v>-1327</v>
      </c>
      <c r="F101" s="10">
        <f t="shared" si="39"/>
        <v>-3163</v>
      </c>
      <c r="G101" s="10">
        <f t="shared" si="39"/>
        <v>-8590</v>
      </c>
      <c r="H101" s="10">
        <f>SUM(H94:H100)</f>
        <v>-10137.125399129171</v>
      </c>
      <c r="I101" s="10">
        <f t="shared" si="39"/>
        <v>-11145.674511831159</v>
      </c>
      <c r="J101" s="10">
        <f t="shared" si="39"/>
        <v>-11964.59865730588</v>
      </c>
      <c r="K101" s="10">
        <f t="shared" si="39"/>
        <v>-12857.740592352573</v>
      </c>
      <c r="L101" s="10">
        <f t="shared" si="39"/>
        <v>-13894.115934637322</v>
      </c>
    </row>
    <row r="103" spans="1:13" x14ac:dyDescent="0.2">
      <c r="A103" t="s">
        <v>193</v>
      </c>
    </row>
    <row r="104" spans="1:13" x14ac:dyDescent="0.2">
      <c r="A104" t="s">
        <v>275</v>
      </c>
      <c r="C104" s="6">
        <f>'CF26'!G46</f>
        <v>7906</v>
      </c>
      <c r="D104" s="6">
        <f>'CF26'!F46</f>
        <v>0</v>
      </c>
      <c r="E104" s="6">
        <f>'CF26'!E46</f>
        <v>0</v>
      </c>
      <c r="F104" s="6">
        <f>'CF26'!D46</f>
        <v>0</v>
      </c>
      <c r="G104" s="6">
        <f>'CF26'!C46</f>
        <v>6000</v>
      </c>
      <c r="H104">
        <v>0</v>
      </c>
      <c r="I104">
        <v>0</v>
      </c>
      <c r="J104">
        <v>0</v>
      </c>
      <c r="K104">
        <v>0</v>
      </c>
      <c r="L104">
        <v>0</v>
      </c>
      <c r="M104" s="4"/>
    </row>
    <row r="105" spans="1:13" x14ac:dyDescent="0.2">
      <c r="M105" s="2"/>
    </row>
    <row r="106" spans="1:13" x14ac:dyDescent="0.2">
      <c r="A106" t="s">
        <v>108</v>
      </c>
      <c r="C106" s="6">
        <f>'CF26'!G49</f>
        <v>0</v>
      </c>
      <c r="D106" s="6">
        <f>'CF26'!F49</f>
        <v>-4000</v>
      </c>
      <c r="E106" s="6">
        <f>'CF26'!E49</f>
        <v>-7620</v>
      </c>
      <c r="F106" s="6">
        <f>'CF26'!D49</f>
        <v>-7829</v>
      </c>
      <c r="G106" s="6">
        <f>'CF26'!C49</f>
        <v>-12596</v>
      </c>
      <c r="H106" s="6">
        <f>AVERAGE(C106:G106)</f>
        <v>-6409</v>
      </c>
      <c r="I106" s="6">
        <f t="shared" ref="I106:L106" si="40">AVERAGE(D106:H106)</f>
        <v>-7690.8</v>
      </c>
      <c r="J106" s="6">
        <f t="shared" si="40"/>
        <v>-8428.9600000000009</v>
      </c>
      <c r="K106" s="6">
        <f t="shared" si="40"/>
        <v>-8590.7520000000004</v>
      </c>
      <c r="L106" s="6">
        <f t="shared" si="40"/>
        <v>-8743.1023999999998</v>
      </c>
      <c r="M106" s="4"/>
    </row>
    <row r="107" spans="1:13" x14ac:dyDescent="0.2">
      <c r="A107" t="s">
        <v>216</v>
      </c>
      <c r="C107" s="6">
        <f>'CF26'!G48</f>
        <v>-1197</v>
      </c>
      <c r="D107" s="6">
        <f>'CF26'!F48</f>
        <v>0</v>
      </c>
      <c r="E107" s="6">
        <f>'CF26'!E48</f>
        <v>0</v>
      </c>
      <c r="F107" s="6">
        <f>'CF26'!D48</f>
        <v>0</v>
      </c>
      <c r="G107" s="6">
        <f>'CF26'!C48</f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s="4"/>
    </row>
    <row r="108" spans="1:13" x14ac:dyDescent="0.2">
      <c r="A108" t="s">
        <v>215</v>
      </c>
      <c r="C108" s="6">
        <f>'CF26'!G51</f>
        <v>0</v>
      </c>
      <c r="D108" s="6">
        <f>'CF26'!F51</f>
        <v>0</v>
      </c>
      <c r="E108" s="6">
        <f>'CF26'!E51</f>
        <v>0</v>
      </c>
      <c r="F108" s="6">
        <f>'CF26'!D51</f>
        <v>0</v>
      </c>
      <c r="G108" s="6">
        <f>'CF26'!C51</f>
        <v>-351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3" x14ac:dyDescent="0.2">
      <c r="A109" t="s">
        <v>111</v>
      </c>
      <c r="C109" s="6">
        <f>'CF26'!G52</f>
        <v>1289</v>
      </c>
      <c r="D109" s="6">
        <f>'CF26'!F52</f>
        <v>861</v>
      </c>
      <c r="E109" s="6">
        <f>'CF26'!E52</f>
        <v>1954</v>
      </c>
      <c r="F109" s="6">
        <f>'CF26'!D52</f>
        <v>1540</v>
      </c>
      <c r="G109" s="6">
        <f>'CF26'!C52</f>
        <v>1039</v>
      </c>
      <c r="H109" s="6">
        <f>$H$151*H4</f>
        <v>1143.5031930333816</v>
      </c>
      <c r="I109" s="6">
        <f>$H$151*I4</f>
        <v>1252.7666657668399</v>
      </c>
      <c r="J109" s="6">
        <f>$H$151*J4</f>
        <v>1366.4852416285555</v>
      </c>
      <c r="K109" s="6">
        <f>$H$151*K4</f>
        <v>1484.3244385575263</v>
      </c>
      <c r="L109" s="6">
        <f>$H$151*L4</f>
        <v>1605.9254736572884</v>
      </c>
    </row>
    <row r="110" spans="1:13" x14ac:dyDescent="0.2">
      <c r="A110" t="s">
        <v>112</v>
      </c>
      <c r="C110" s="6">
        <f>'CF26'!G53</f>
        <v>-156</v>
      </c>
      <c r="D110" s="6">
        <f>'CF26'!F53</f>
        <v>-419</v>
      </c>
      <c r="E110" s="6">
        <f>'CF26'!E53</f>
        <v>-629</v>
      </c>
      <c r="F110" s="6">
        <f>'CF26'!D53</f>
        <v>-603</v>
      </c>
      <c r="G110" s="6">
        <f>'CF26'!C53</f>
        <v>-584</v>
      </c>
      <c r="H110" s="6">
        <f>G110</f>
        <v>-584</v>
      </c>
      <c r="I110" s="6">
        <f t="shared" ref="I110:L110" si="41">H110</f>
        <v>-584</v>
      </c>
      <c r="J110" s="6">
        <f t="shared" si="41"/>
        <v>-584</v>
      </c>
      <c r="K110" s="6">
        <f t="shared" si="41"/>
        <v>-584</v>
      </c>
      <c r="L110" s="6">
        <f t="shared" si="41"/>
        <v>-584</v>
      </c>
      <c r="M110" s="4"/>
    </row>
    <row r="111" spans="1:13" x14ac:dyDescent="0.2">
      <c r="A111" t="s">
        <v>194</v>
      </c>
      <c r="C111" s="6">
        <f>'CF26'!G54</f>
        <v>-4</v>
      </c>
      <c r="D111" s="6">
        <f>'CF26'!F54</f>
        <v>-4</v>
      </c>
      <c r="E111" s="6">
        <f>'CF26'!E54</f>
        <v>-1182</v>
      </c>
      <c r="F111" s="6">
        <f>'CF26'!D54</f>
        <v>-1000</v>
      </c>
      <c r="G111" s="6">
        <f>'CF26'!C54</f>
        <v>0</v>
      </c>
      <c r="H111" s="6">
        <f>AVERAGE(C111:G111)</f>
        <v>-438</v>
      </c>
      <c r="I111" s="6">
        <f t="shared" ref="I111:L111" si="42">AVERAGE(D111:H111)</f>
        <v>-524.79999999999995</v>
      </c>
      <c r="J111" s="6">
        <f t="shared" si="42"/>
        <v>-628.96</v>
      </c>
      <c r="K111" s="6">
        <f t="shared" si="42"/>
        <v>-518.35200000000009</v>
      </c>
      <c r="L111" s="6">
        <f t="shared" si="42"/>
        <v>-422.0224</v>
      </c>
      <c r="M111" s="4"/>
    </row>
    <row r="112" spans="1:13" x14ac:dyDescent="0.2">
      <c r="A112" t="s">
        <v>195</v>
      </c>
      <c r="C112">
        <f>'CF26'!G55</f>
        <v>0</v>
      </c>
      <c r="D112">
        <f>'CF26'!F55</f>
        <v>0</v>
      </c>
      <c r="E112">
        <f>'CF26'!E55</f>
        <v>0</v>
      </c>
      <c r="F112">
        <f>'CF26'!D55</f>
        <v>-1537</v>
      </c>
      <c r="G112">
        <f>'CF26'!C55</f>
        <v>-1587</v>
      </c>
      <c r="H112" s="8">
        <f>G112*(1+0.05)</f>
        <v>-1666.3500000000001</v>
      </c>
      <c r="I112" s="8">
        <f t="shared" ref="I112:L112" si="43">H112*(1+0.05)</f>
        <v>-1749.6675000000002</v>
      </c>
      <c r="J112" s="8">
        <f t="shared" si="43"/>
        <v>-1837.1508750000003</v>
      </c>
      <c r="K112" s="8">
        <f t="shared" si="43"/>
        <v>-1929.0084187500004</v>
      </c>
      <c r="L112" s="8">
        <f t="shared" si="43"/>
        <v>-2025.4588396875006</v>
      </c>
      <c r="M112" s="4"/>
    </row>
    <row r="113" spans="1:14" x14ac:dyDescent="0.2">
      <c r="A113" t="s">
        <v>196</v>
      </c>
      <c r="C113" s="10">
        <f>SUM(C104:C112)</f>
        <v>7838</v>
      </c>
      <c r="D113" s="10">
        <f t="shared" ref="D113:L113" si="44">SUM(D104:D112)</f>
        <v>-3562</v>
      </c>
      <c r="E113" s="10">
        <f t="shared" si="44"/>
        <v>-7477</v>
      </c>
      <c r="F113" s="10">
        <f t="shared" si="44"/>
        <v>-9429</v>
      </c>
      <c r="G113" s="10">
        <f t="shared" si="44"/>
        <v>-8079</v>
      </c>
      <c r="H113" s="10">
        <f>SUM(H104:H112)</f>
        <v>-7953.8468069666187</v>
      </c>
      <c r="I113" s="10">
        <f t="shared" si="44"/>
        <v>-9296.5008342331603</v>
      </c>
      <c r="J113" s="10">
        <f t="shared" si="44"/>
        <v>-10112.585633371444</v>
      </c>
      <c r="K113" s="10">
        <f t="shared" si="44"/>
        <v>-10137.787980192474</v>
      </c>
      <c r="L113" s="10">
        <f t="shared" si="44"/>
        <v>-10168.658166030211</v>
      </c>
    </row>
    <row r="114" spans="1:14" x14ac:dyDescent="0.2">
      <c r="A114" t="s">
        <v>116</v>
      </c>
      <c r="C114" s="6">
        <f>'CF26'!G57</f>
        <v>-33</v>
      </c>
      <c r="D114" s="6">
        <f>'CF26'!F57</f>
        <v>-8</v>
      </c>
      <c r="E114" s="6">
        <f>'CF26'!E57</f>
        <v>26</v>
      </c>
      <c r="F114" s="6">
        <f>'CF26'!D57</f>
        <v>-124</v>
      </c>
      <c r="G114" s="6">
        <f>'CF26'!C57</f>
        <v>152</v>
      </c>
      <c r="H114" s="8"/>
      <c r="I114" s="8"/>
      <c r="J114" s="8"/>
      <c r="K114" s="8"/>
      <c r="L114" s="8"/>
    </row>
    <row r="115" spans="1:14" x14ac:dyDescent="0.2">
      <c r="A115" t="s">
        <v>197</v>
      </c>
      <c r="C115" s="6">
        <f t="shared" ref="C115:H115" si="45">C113+C101+C91+C114</f>
        <v>-731</v>
      </c>
      <c r="D115" s="6">
        <f t="shared" si="45"/>
        <v>1552</v>
      </c>
      <c r="E115" s="6">
        <f t="shared" si="45"/>
        <v>1456</v>
      </c>
      <c r="F115" s="6">
        <f t="shared" si="45"/>
        <v>376</v>
      </c>
      <c r="G115" s="6">
        <f t="shared" si="45"/>
        <v>-1521</v>
      </c>
      <c r="H115" s="6">
        <f t="shared" si="45"/>
        <v>-881.60388800938017</v>
      </c>
      <c r="I115" s="6">
        <f>I113+I101+I91</f>
        <v>-72.843517510136735</v>
      </c>
      <c r="J115" s="6">
        <f t="shared" ref="J115:L115" si="46">J113+J101+J91</f>
        <v>213.56894794117034</v>
      </c>
      <c r="K115" s="6">
        <f t="shared" si="46"/>
        <v>1296.1099654522295</v>
      </c>
      <c r="L115" s="6">
        <f t="shared" si="46"/>
        <v>2304.3126552943395</v>
      </c>
    </row>
    <row r="116" spans="1:14" x14ac:dyDescent="0.2">
      <c r="A116" t="s">
        <v>198</v>
      </c>
      <c r="C116" s="6">
        <f>B33</f>
        <v>6195</v>
      </c>
      <c r="D116" s="6">
        <f>C117</f>
        <v>5464</v>
      </c>
      <c r="E116" s="6">
        <f t="shared" ref="E116:G116" si="47">D117</f>
        <v>7016</v>
      </c>
      <c r="F116" s="6">
        <f t="shared" si="47"/>
        <v>8472</v>
      </c>
      <c r="G116" s="6">
        <f t="shared" si="47"/>
        <v>8848</v>
      </c>
      <c r="H116" s="6">
        <f>G117</f>
        <v>7327</v>
      </c>
      <c r="I116" s="6">
        <f>H117</f>
        <v>6445.3961119906198</v>
      </c>
      <c r="J116" s="6">
        <f t="shared" ref="J116:L116" si="48">I117</f>
        <v>6372.5525944804831</v>
      </c>
      <c r="K116" s="6">
        <f t="shared" si="48"/>
        <v>6586.1215424216534</v>
      </c>
      <c r="L116" s="6">
        <f t="shared" si="48"/>
        <v>7882.2315078738829</v>
      </c>
    </row>
    <row r="117" spans="1:14" x14ac:dyDescent="0.2">
      <c r="A117" t="s">
        <v>199</v>
      </c>
      <c r="C117" s="6">
        <f>C116+C115</f>
        <v>5464</v>
      </c>
      <c r="D117" s="6">
        <f t="shared" ref="D117:G117" si="49">D116+D115</f>
        <v>7016</v>
      </c>
      <c r="E117" s="6">
        <f t="shared" si="49"/>
        <v>8472</v>
      </c>
      <c r="F117" s="6">
        <f>F116+F115</f>
        <v>8848</v>
      </c>
      <c r="G117" s="6">
        <f t="shared" si="49"/>
        <v>7327</v>
      </c>
      <c r="H117" s="6">
        <f>H115+H116</f>
        <v>6445.3961119906198</v>
      </c>
      <c r="I117" s="6">
        <f>I115+I116</f>
        <v>6372.5525944804831</v>
      </c>
      <c r="J117" s="6">
        <f t="shared" ref="J117:L117" si="50">J115+J116</f>
        <v>6586.1215424216534</v>
      </c>
      <c r="K117" s="6">
        <f t="shared" si="50"/>
        <v>7882.2315078738829</v>
      </c>
      <c r="L117" s="6">
        <f t="shared" si="50"/>
        <v>10186.544163168222</v>
      </c>
    </row>
    <row r="119" spans="1:14" x14ac:dyDescent="0.2">
      <c r="A119" t="s">
        <v>200</v>
      </c>
    </row>
    <row r="120" spans="1:14" x14ac:dyDescent="0.2">
      <c r="A120" t="s">
        <v>201</v>
      </c>
      <c r="C120" s="7">
        <f t="shared" ref="C120:L120" si="51">(C4-B4)/B4</f>
        <v>0.24656502917372483</v>
      </c>
      <c r="D120" s="7">
        <f t="shared" si="51"/>
        <v>0.18345160803261362</v>
      </c>
      <c r="E120" s="7">
        <f t="shared" si="51"/>
        <v>0.11179510079101812</v>
      </c>
      <c r="F120" s="7">
        <f t="shared" si="51"/>
        <v>8.7156094902028289E-2</v>
      </c>
      <c r="G120" s="7">
        <f t="shared" si="51"/>
        <v>9.579100145137881E-2</v>
      </c>
      <c r="H120" s="7">
        <f t="shared" si="51"/>
        <v>0.10058055152394771</v>
      </c>
      <c r="I120" s="7">
        <f t="shared" si="51"/>
        <v>9.5551523947750516E-2</v>
      </c>
      <c r="J120" s="7">
        <f t="shared" si="51"/>
        <v>9.0773947750362877E-2</v>
      </c>
      <c r="K120" s="7">
        <f t="shared" si="51"/>
        <v>8.6235250362844726E-2</v>
      </c>
      <c r="L120" s="7">
        <f t="shared" si="51"/>
        <v>8.1923487844702436E-2</v>
      </c>
    </row>
    <row r="121" spans="1:14" x14ac:dyDescent="0.2">
      <c r="A121" t="s">
        <v>202</v>
      </c>
      <c r="C121" s="7">
        <f>C6/C4</f>
        <v>0.2652121395138155</v>
      </c>
      <c r="D121" s="7">
        <f>D6/D4</f>
        <v>0.26664965552436848</v>
      </c>
      <c r="E121" s="7">
        <f>E6/E4</f>
        <v>0.2450296927446424</v>
      </c>
      <c r="F121" s="7">
        <f>F6/F4</f>
        <v>0.22807758279456392</v>
      </c>
      <c r="G121" s="7">
        <f>G6/G4</f>
        <v>0.22323901264298615</v>
      </c>
      <c r="H121" s="7">
        <f>G121-0.52%</f>
        <v>0.21803901264298614</v>
      </c>
      <c r="I121" s="7">
        <f t="shared" ref="I121:L121" si="52">H121-0.52%</f>
        <v>0.21283901264298613</v>
      </c>
      <c r="J121" s="7">
        <f t="shared" si="52"/>
        <v>0.20763901264298612</v>
      </c>
      <c r="K121" s="7">
        <f t="shared" si="52"/>
        <v>0.20243901264298611</v>
      </c>
      <c r="L121" s="7">
        <f t="shared" si="52"/>
        <v>0.1972390126429861</v>
      </c>
    </row>
    <row r="122" spans="1:14" x14ac:dyDescent="0.2">
      <c r="A122" t="s">
        <v>203</v>
      </c>
      <c r="C122" s="7">
        <f>C13/C4</f>
        <v>0.16854144647440736</v>
      </c>
      <c r="D122" s="7">
        <f>D13/D4</f>
        <v>0.16123373309517733</v>
      </c>
      <c r="E122" s="7">
        <f>E13/E4</f>
        <v>0.14074647846917404</v>
      </c>
      <c r="F122" s="7">
        <f>F13/F4</f>
        <v>0.14495316004749967</v>
      </c>
      <c r="G122" s="7">
        <f>G13/G4</f>
        <v>0.14432269717037929</v>
      </c>
      <c r="H122" s="7">
        <f>G122*(1-$C$154)</f>
        <v>0.1436010836845274</v>
      </c>
      <c r="I122" s="7">
        <f t="shared" ref="I122:L122" si="53">H122*(1-$C$154)</f>
        <v>0.14288307826610475</v>
      </c>
      <c r="J122" s="7">
        <f t="shared" si="53"/>
        <v>0.14216866287477423</v>
      </c>
      <c r="K122" s="7">
        <f t="shared" si="53"/>
        <v>0.14145781956040035</v>
      </c>
      <c r="L122" s="7">
        <f t="shared" si="53"/>
        <v>0.14075053046259836</v>
      </c>
      <c r="M122" s="16"/>
    </row>
    <row r="123" spans="1:14" x14ac:dyDescent="0.2">
      <c r="A123" t="s">
        <v>204</v>
      </c>
      <c r="C123" s="7">
        <f t="shared" ref="C123:L123" si="54">C14/C4</f>
        <v>0.44749358296844333</v>
      </c>
      <c r="D123" s="7">
        <f t="shared" si="54"/>
        <v>0.43142383261035977</v>
      </c>
      <c r="E123" s="7">
        <f t="shared" si="54"/>
        <v>0.36942364517887366</v>
      </c>
      <c r="F123" s="7">
        <f t="shared" si="54"/>
        <v>0.34983507058978758</v>
      </c>
      <c r="G123" s="7">
        <f t="shared" si="54"/>
        <v>0.34545454545454546</v>
      </c>
      <c r="H123" s="7">
        <f>G123*(1-$C$154)</f>
        <v>0.34372727272727271</v>
      </c>
      <c r="I123" s="7">
        <f t="shared" ref="I123:L123" si="55">H123*(1-$C$154)</f>
        <v>0.34200863636363638</v>
      </c>
      <c r="J123" s="7">
        <f t="shared" si="55"/>
        <v>0.34029859318181821</v>
      </c>
      <c r="K123" s="7">
        <f t="shared" si="55"/>
        <v>0.33859710021590911</v>
      </c>
      <c r="L123" s="7">
        <f t="shared" si="55"/>
        <v>0.33690411471482956</v>
      </c>
      <c r="N123" s="7"/>
    </row>
    <row r="124" spans="1:14" x14ac:dyDescent="0.2">
      <c r="A124" t="s">
        <v>205</v>
      </c>
      <c r="C124" s="7">
        <f t="shared" ref="C124:L124" si="56">C15/C4</f>
        <v>9.8067341084100867E-2</v>
      </c>
      <c r="D124" s="7">
        <f t="shared" si="56"/>
        <v>8.1430211788721618E-2</v>
      </c>
      <c r="E124" s="7">
        <f t="shared" si="56"/>
        <v>7.269701925007889E-2</v>
      </c>
      <c r="F124" s="7">
        <f t="shared" si="56"/>
        <v>7.4838369177991818E-2</v>
      </c>
      <c r="G124" s="7">
        <f t="shared" si="56"/>
        <v>7.2245635159542451E-2</v>
      </c>
      <c r="H124" s="7">
        <f>G124*(1-$C$154)</f>
        <v>7.1884406983744736E-2</v>
      </c>
      <c r="I124" s="7">
        <f t="shared" ref="I124:L124" si="57">H124*(1-$C$154)</f>
        <v>7.1524984948826018E-2</v>
      </c>
      <c r="J124" s="7">
        <f t="shared" si="57"/>
        <v>7.1167360024081888E-2</v>
      </c>
      <c r="K124" s="7">
        <f t="shared" si="57"/>
        <v>7.0811523223961476E-2</v>
      </c>
      <c r="L124" s="7">
        <f t="shared" si="57"/>
        <v>7.0457465607841663E-2</v>
      </c>
    </row>
    <row r="125" spans="1:14" x14ac:dyDescent="0.2">
      <c r="A125" t="s">
        <v>206</v>
      </c>
      <c r="C125" s="7">
        <f t="shared" ref="C125:L125" si="58">C16/C4</f>
        <v>0</v>
      </c>
      <c r="D125" s="7">
        <f t="shared" si="58"/>
        <v>2.6409798417963766E-2</v>
      </c>
      <c r="E125" s="7">
        <f t="shared" si="58"/>
        <v>2.8344378460567463E-2</v>
      </c>
      <c r="F125" s="7">
        <f t="shared" si="58"/>
        <v>1.2165193297268768E-2</v>
      </c>
      <c r="G125" s="7">
        <f t="shared" si="58"/>
        <v>1.4111980734497291E-2</v>
      </c>
      <c r="H125" s="7">
        <f>G125*(1-$C$154)</f>
        <v>1.4041420830824804E-2</v>
      </c>
      <c r="I125" s="7">
        <f t="shared" ref="I125:L125" si="59">H125*(1-$C$154)</f>
        <v>1.397121372667068E-2</v>
      </c>
      <c r="J125" s="7">
        <f t="shared" si="59"/>
        <v>1.3901357658037326E-2</v>
      </c>
      <c r="K125" s="7">
        <f t="shared" si="59"/>
        <v>1.3831850869747139E-2</v>
      </c>
      <c r="L125" s="7">
        <f t="shared" si="59"/>
        <v>1.3762691615398403E-2</v>
      </c>
      <c r="M125" s="21"/>
    </row>
    <row r="126" spans="1:14" x14ac:dyDescent="0.2">
      <c r="A126" t="s">
        <v>73</v>
      </c>
      <c r="C126" s="7">
        <f t="shared" ref="C126:L126" si="60">C23/C4</f>
        <v>-8.5686244904121991E-3</v>
      </c>
      <c r="D126" s="7">
        <f t="shared" si="60"/>
        <v>-4.1783618269966832E-3</v>
      </c>
      <c r="E126" s="7">
        <f t="shared" si="60"/>
        <v>6.1967467079783118E-3</v>
      </c>
      <c r="F126" s="7">
        <f t="shared" si="60"/>
        <v>9.3416017944319835E-3</v>
      </c>
      <c r="G126" s="7">
        <f t="shared" si="60"/>
        <v>4.1420830824804335E-3</v>
      </c>
      <c r="H126" s="7">
        <f t="shared" si="60"/>
        <v>4.1420830824804335E-3</v>
      </c>
      <c r="I126" s="7">
        <f>I23/I4</f>
        <v>4.1420830824804335E-3</v>
      </c>
      <c r="J126" s="7">
        <f t="shared" si="60"/>
        <v>4.1420830824804335E-3</v>
      </c>
      <c r="K126" s="7">
        <f t="shared" si="60"/>
        <v>4.1420830824804335E-3</v>
      </c>
      <c r="L126" s="7">
        <f t="shared" si="60"/>
        <v>4.1420830824804335E-3</v>
      </c>
    </row>
    <row r="127" spans="1:14" x14ac:dyDescent="0.2">
      <c r="A127" t="s">
        <v>207</v>
      </c>
      <c r="C127" s="7">
        <f t="shared" ref="C127:L127" si="61">C80/C4</f>
        <v>0.1244904121999094</v>
      </c>
      <c r="D127" s="7">
        <f t="shared" si="61"/>
        <v>0.12075784638938505</v>
      </c>
      <c r="E127" s="7">
        <f t="shared" si="61"/>
        <v>0.1135783343374358</v>
      </c>
      <c r="F127" s="7">
        <f t="shared" si="61"/>
        <v>9.1753529489378552E-2</v>
      </c>
      <c r="G127" s="7">
        <f t="shared" si="61"/>
        <v>8.7441300421432874E-2</v>
      </c>
      <c r="H127" s="7">
        <f t="shared" si="61"/>
        <v>8.7441300421432874E-2</v>
      </c>
      <c r="I127" s="7">
        <f t="shared" si="61"/>
        <v>8.7441300421432874E-2</v>
      </c>
      <c r="J127" s="7">
        <f t="shared" si="61"/>
        <v>8.7441300421432874E-2</v>
      </c>
      <c r="K127" s="7">
        <f t="shared" si="61"/>
        <v>8.7441300421432874E-2</v>
      </c>
      <c r="L127" s="7">
        <f t="shared" si="61"/>
        <v>8.7441300421432874E-2</v>
      </c>
    </row>
    <row r="128" spans="1:14" x14ac:dyDescent="0.2">
      <c r="A128" t="s">
        <v>208</v>
      </c>
      <c r="C128" s="7">
        <f t="shared" ref="C128:L128" si="62">C100/C4</f>
        <v>-2.7064774271478183E-2</v>
      </c>
      <c r="D128" s="7">
        <f t="shared" si="62"/>
        <v>-2.5452921663689718E-2</v>
      </c>
      <c r="E128" s="7">
        <f t="shared" si="62"/>
        <v>-2.1114840634592763E-2</v>
      </c>
      <c r="F128" s="7">
        <f t="shared" si="62"/>
        <v>-1.7363768307164535E-2</v>
      </c>
      <c r="G128" s="7">
        <f t="shared" si="62"/>
        <v>-1.4304635761589404E-2</v>
      </c>
      <c r="H128" s="7">
        <f t="shared" si="62"/>
        <v>-1.4304635761589402E-2</v>
      </c>
      <c r="I128" s="7">
        <f t="shared" si="62"/>
        <v>-1.4304635761589404E-2</v>
      </c>
      <c r="J128" s="7">
        <f t="shared" si="62"/>
        <v>-1.4304635761589402E-2</v>
      </c>
      <c r="K128" s="7">
        <f t="shared" si="62"/>
        <v>-1.4304635761589404E-2</v>
      </c>
      <c r="L128" s="7">
        <f t="shared" si="62"/>
        <v>-1.4304635761589404E-2</v>
      </c>
    </row>
    <row r="129" spans="1:12" x14ac:dyDescent="0.2">
      <c r="A129" t="s">
        <v>209</v>
      </c>
      <c r="C129" s="8">
        <f t="shared" ref="C129:L129" si="63">C35/C4*365</f>
        <v>134.18145100407671</v>
      </c>
      <c r="D129" s="8">
        <f t="shared" si="63"/>
        <v>125.20971548864506</v>
      </c>
      <c r="E129" s="8">
        <f t="shared" si="63"/>
        <v>119.52003901655334</v>
      </c>
      <c r="F129" s="8">
        <f t="shared" si="63"/>
        <v>115.05277741126798</v>
      </c>
      <c r="G129" s="8">
        <f t="shared" si="63"/>
        <v>126.03816977724263</v>
      </c>
      <c r="H129" s="8">
        <f t="shared" si="63"/>
        <v>124.00043053955714</v>
      </c>
      <c r="I129" s="8">
        <f t="shared" si="63"/>
        <v>124.00043053955713</v>
      </c>
      <c r="J129" s="8">
        <f t="shared" si="63"/>
        <v>124.00043053955713</v>
      </c>
      <c r="K129" s="8">
        <f t="shared" si="63"/>
        <v>124.00043053955713</v>
      </c>
      <c r="L129" s="8">
        <f t="shared" si="63"/>
        <v>124.00043053955713</v>
      </c>
    </row>
    <row r="130" spans="1:12" x14ac:dyDescent="0.2">
      <c r="A130" t="s">
        <v>210</v>
      </c>
      <c r="C130" s="8">
        <f t="shared" ref="C130:L130" si="64">C54/C6*365</f>
        <v>284.16595502419585</v>
      </c>
      <c r="D130" s="8">
        <f t="shared" si="64"/>
        <v>294.4013157894737</v>
      </c>
      <c r="E130" s="8">
        <f t="shared" si="64"/>
        <v>261.15384615384619</v>
      </c>
      <c r="F130" s="8">
        <f t="shared" si="64"/>
        <v>281.172046743029</v>
      </c>
      <c r="G130" s="8">
        <f t="shared" si="64"/>
        <v>324.95631067961165</v>
      </c>
      <c r="H130" s="8">
        <f t="shared" si="64"/>
        <v>289.16989487803136</v>
      </c>
      <c r="I130" s="8">
        <f t="shared" si="64"/>
        <v>289.16989487803124</v>
      </c>
      <c r="J130" s="8">
        <f t="shared" si="64"/>
        <v>289.1698948780313</v>
      </c>
      <c r="K130" s="8">
        <f t="shared" si="64"/>
        <v>289.16989487803136</v>
      </c>
      <c r="L130" s="8">
        <f t="shared" si="64"/>
        <v>289.16989487803136</v>
      </c>
    </row>
    <row r="131" spans="1:12" x14ac:dyDescent="0.2">
      <c r="A131" t="s">
        <v>211</v>
      </c>
      <c r="C131">
        <f t="shared" ref="C131:L131" si="65">C36/C6*365</f>
        <v>0</v>
      </c>
      <c r="D131">
        <f t="shared" si="65"/>
        <v>0</v>
      </c>
      <c r="E131">
        <f t="shared" si="65"/>
        <v>0</v>
      </c>
      <c r="F131">
        <f t="shared" si="65"/>
        <v>0</v>
      </c>
      <c r="G131">
        <f t="shared" si="65"/>
        <v>0</v>
      </c>
      <c r="H131">
        <f t="shared" si="65"/>
        <v>0</v>
      </c>
      <c r="I131">
        <f t="shared" si="65"/>
        <v>0</v>
      </c>
      <c r="J131">
        <f t="shared" si="65"/>
        <v>0</v>
      </c>
      <c r="K131">
        <f t="shared" si="65"/>
        <v>0</v>
      </c>
      <c r="L131">
        <f t="shared" si="65"/>
        <v>0</v>
      </c>
    </row>
    <row r="132" spans="1:12" x14ac:dyDescent="0.2">
      <c r="A132" t="s">
        <v>217</v>
      </c>
      <c r="C132" s="7">
        <f t="shared" ref="C132:L132" si="66">C26/C25</f>
        <v>5.7441253263707574E-2</v>
      </c>
      <c r="D132" s="7">
        <f t="shared" si="66"/>
        <v>0.68484848484848482</v>
      </c>
      <c r="E132" s="7">
        <f t="shared" si="66"/>
        <v>0.16444444444444445</v>
      </c>
      <c r="F132" s="7">
        <f t="shared" si="66"/>
        <v>0.16684592632428072</v>
      </c>
      <c r="G132" s="7">
        <f t="shared" si="66"/>
        <v>0.21670168067226891</v>
      </c>
      <c r="H132" s="7">
        <f t="shared" si="66"/>
        <v>0.21670168067226891</v>
      </c>
      <c r="I132" s="7">
        <f t="shared" si="66"/>
        <v>0.21670168067226891</v>
      </c>
      <c r="J132" s="7">
        <f t="shared" si="66"/>
        <v>0.21670168067226891</v>
      </c>
      <c r="K132" s="7">
        <f t="shared" si="66"/>
        <v>0.21670168067226891</v>
      </c>
      <c r="L132" s="7">
        <f t="shared" si="66"/>
        <v>0.21670168067226891</v>
      </c>
    </row>
    <row r="133" spans="1:12" x14ac:dyDescent="0.2">
      <c r="A133" t="s">
        <v>264</v>
      </c>
      <c r="C133" s="7">
        <f>C35/C4</f>
        <v>0.3676204137097992</v>
      </c>
      <c r="D133" s="7">
        <f>D35/D4</f>
        <v>0.34304031640724675</v>
      </c>
      <c r="E133" s="7">
        <f>E35/E4</f>
        <v>0.32745216168918723</v>
      </c>
      <c r="F133" s="7">
        <f>F35/F4</f>
        <v>0.31521308879799448</v>
      </c>
      <c r="G133" s="7">
        <f>G35/G4</f>
        <v>0.34531005418422639</v>
      </c>
    </row>
    <row r="134" spans="1:12" x14ac:dyDescent="0.2">
      <c r="A134" t="s">
        <v>155</v>
      </c>
      <c r="C134" s="7">
        <f>C37/C4</f>
        <v>4.2276913785293677E-2</v>
      </c>
      <c r="D134" s="7">
        <f>D37/D4</f>
        <v>4.3250829293187035E-2</v>
      </c>
      <c r="E134" s="7">
        <f>E37/E4</f>
        <v>4.4782970422009925E-2</v>
      </c>
      <c r="F134" s="7">
        <f>F37/F4</f>
        <v>4.6945507322865815E-2</v>
      </c>
      <c r="G134" s="7">
        <f>G37/G4</f>
        <v>5.4015653220951233E-2</v>
      </c>
    </row>
    <row r="135" spans="1:12" x14ac:dyDescent="0.2">
      <c r="A135" t="s">
        <v>156</v>
      </c>
      <c r="C135" s="7">
        <f>C38/C4</f>
        <v>5.4884493431979466E-2</v>
      </c>
      <c r="D135" s="7">
        <f>D38/D4</f>
        <v>5.6647103853023732E-2</v>
      </c>
      <c r="E135" s="7">
        <f>E38/E4</f>
        <v>5.4651863327308717E-2</v>
      </c>
      <c r="F135" s="7">
        <f>F38/F4</f>
        <v>5.2012138804591636E-2</v>
      </c>
      <c r="G135" s="7">
        <f>G38/G4</f>
        <v>4.9969897652016856E-2</v>
      </c>
    </row>
    <row r="136" spans="1:12" x14ac:dyDescent="0.2">
      <c r="A136" t="s">
        <v>161</v>
      </c>
      <c r="C136" s="7">
        <f>C43/C4</f>
        <v>0.10625849313000151</v>
      </c>
      <c r="D136" s="7">
        <f>D43/D4</f>
        <v>0.11807859147741771</v>
      </c>
      <c r="E136" s="7">
        <f>E43/E4</f>
        <v>0.10583240095246292</v>
      </c>
      <c r="F136" s="7">
        <f>F43/F4</f>
        <v>8.5393851431587287E-2</v>
      </c>
      <c r="G136" s="7">
        <f>G43/G4</f>
        <v>7.5135460565924142E-2</v>
      </c>
    </row>
    <row r="137" spans="1:12" x14ac:dyDescent="0.2">
      <c r="A137" t="s">
        <v>162</v>
      </c>
      <c r="C137" s="7"/>
      <c r="D137" s="7">
        <f>(D45-C45)/C45</f>
        <v>-0.20639340610380932</v>
      </c>
      <c r="E137" s="7">
        <f>(E45-D45)/D45</f>
        <v>-0.25922807017543859</v>
      </c>
      <c r="F137" s="7">
        <f>(F45-E45)/E45</f>
        <v>-0.16104585070102312</v>
      </c>
      <c r="G137" s="7">
        <f>(G45-F45)/F45</f>
        <v>0.53906955736224027</v>
      </c>
      <c r="H137" s="7"/>
      <c r="I137" s="7"/>
      <c r="J137" s="7"/>
      <c r="K137" s="7"/>
      <c r="L137" s="7"/>
    </row>
    <row r="138" spans="1:12" x14ac:dyDescent="0.2">
      <c r="A138" t="s">
        <v>163</v>
      </c>
      <c r="C138" s="7">
        <f>C48/C4</f>
        <v>0.18058281745432583</v>
      </c>
      <c r="D138" s="7">
        <f>D48/D4</f>
        <v>0.14901760653227863</v>
      </c>
      <c r="E138" s="7">
        <f>E48/E4</f>
        <v>0.13908253722351321</v>
      </c>
      <c r="F138" s="7">
        <f>F48/F4</f>
        <v>0.12803799973611293</v>
      </c>
      <c r="G138" s="7">
        <f>G48/G4</f>
        <v>0.18280553883202891</v>
      </c>
    </row>
    <row r="139" spans="1:12" x14ac:dyDescent="0.2">
      <c r="A139" t="s">
        <v>214</v>
      </c>
      <c r="C139" s="7">
        <f>C49/C4</f>
        <v>9.901102219537973E-2</v>
      </c>
      <c r="D139" s="7">
        <f>D49/D4</f>
        <v>8.930849706557796E-2</v>
      </c>
      <c r="E139" s="7">
        <f>E49/E4</f>
        <v>9.848810855782196E-2</v>
      </c>
      <c r="F139" s="7">
        <f>F49/F4</f>
        <v>0.12587412587412589</v>
      </c>
      <c r="G139" s="7">
        <f>G49/G4</f>
        <v>8.7369054786273326E-2</v>
      </c>
    </row>
    <row r="140" spans="1:12" x14ac:dyDescent="0.2">
      <c r="A140" t="s">
        <v>171</v>
      </c>
      <c r="C140" s="7">
        <f>C57/C4</f>
        <v>1.5098897780462027E-4</v>
      </c>
      <c r="D140" s="7">
        <f>D57/D4</f>
        <v>3.7700944118397549E-2</v>
      </c>
      <c r="E140" s="7">
        <f>E57/E4</f>
        <v>2.8659953524399689E-2</v>
      </c>
      <c r="F140" s="7">
        <f>F57/F4</f>
        <v>0</v>
      </c>
      <c r="G140" s="7">
        <f>G57/G4</f>
        <v>9.6327513546056592E-2</v>
      </c>
    </row>
    <row r="141" spans="1:12" x14ac:dyDescent="0.2">
      <c r="A141" t="s">
        <v>174</v>
      </c>
      <c r="C141" s="7">
        <f>C60/C4</f>
        <v>0.39981881322663443</v>
      </c>
      <c r="D141" s="7">
        <f>D60/D4</f>
        <v>0.30042740495024239</v>
      </c>
      <c r="E141" s="7">
        <f>E60/E4</f>
        <v>0.24175918753765385</v>
      </c>
      <c r="F141" s="7">
        <f>F60/F4</f>
        <v>0.22253595461142631</v>
      </c>
      <c r="G141" s="7">
        <f>G60/G4</f>
        <v>0.2513907284768212</v>
      </c>
      <c r="H141" s="16">
        <f>G141</f>
        <v>0.2513907284768212</v>
      </c>
    </row>
    <row r="142" spans="1:12" x14ac:dyDescent="0.2">
      <c r="A142" t="s">
        <v>175</v>
      </c>
      <c r="C142" s="7">
        <f>C61/C4</f>
        <v>0.10203080175147214</v>
      </c>
      <c r="D142" s="7">
        <f>D61/D4</f>
        <v>9.2402398571064054E-2</v>
      </c>
      <c r="E142" s="7">
        <f>E61/E4</f>
        <v>7.5852769888401186E-2</v>
      </c>
      <c r="F142" s="7">
        <f>F61/F4</f>
        <v>6.2805119408892995E-2</v>
      </c>
      <c r="G142" s="7">
        <f>G61/G4</f>
        <v>5.2715231788079471E-2</v>
      </c>
    </row>
    <row r="143" spans="1:12" x14ac:dyDescent="0.2">
      <c r="A143" t="s">
        <v>177</v>
      </c>
      <c r="C143" s="7"/>
      <c r="D143" s="7">
        <f>(D63-C63)/C63</f>
        <v>0.14436090225563911</v>
      </c>
      <c r="E143" s="7">
        <f>(E63-D63)/D63</f>
        <v>8.4099868593955324E-2</v>
      </c>
      <c r="F143" s="7">
        <f>(F63-E63)/E63</f>
        <v>0.19676767676767676</v>
      </c>
      <c r="G143" s="7">
        <f>(G63-F63)/F63</f>
        <v>0.15361242403781228</v>
      </c>
    </row>
    <row r="144" spans="1:12" x14ac:dyDescent="0.2">
      <c r="A144" t="s">
        <v>50</v>
      </c>
      <c r="C144" s="7">
        <f>C69/C4</f>
        <v>0.27846142231617094</v>
      </c>
      <c r="D144" s="7">
        <f>D69/D4</f>
        <v>0.24193033937228886</v>
      </c>
      <c r="E144" s="7">
        <f>E69/E4</f>
        <v>0.33625957483432312</v>
      </c>
      <c r="F144" s="7">
        <f>F69/F4</f>
        <v>0.43195672252276024</v>
      </c>
      <c r="G144" s="7">
        <f>G69/G4</f>
        <v>0.53512341962673093</v>
      </c>
    </row>
    <row r="145" spans="1:8" x14ac:dyDescent="0.2">
      <c r="A145" t="s">
        <v>49</v>
      </c>
      <c r="C145" s="7">
        <f>C70/C4</f>
        <v>-6.2660425788917413E-3</v>
      </c>
      <c r="D145" s="7">
        <f>D70/D4</f>
        <v>-8.739474355702985E-3</v>
      </c>
      <c r="E145" s="7">
        <f>E70/E4</f>
        <v>-6.4549444874774081E-3</v>
      </c>
      <c r="F145" s="7">
        <f>F70/F4</f>
        <v>-7.0193956986409813E-3</v>
      </c>
      <c r="G145" s="7">
        <f>G70/G4</f>
        <v>7.5376279349789283E-3</v>
      </c>
    </row>
    <row r="146" spans="1:8" x14ac:dyDescent="0.2">
      <c r="A146" t="s">
        <v>47</v>
      </c>
      <c r="C146" s="7">
        <f>C71/C4</f>
        <v>0</v>
      </c>
      <c r="D146" s="7">
        <f>D71/D4</f>
        <v>-0.12758356723653994</v>
      </c>
      <c r="E146" s="7">
        <f>E71/E4</f>
        <v>-0.33542760421149265</v>
      </c>
      <c r="F146" s="7">
        <f>F71/F4</f>
        <v>-0.51476448080221671</v>
      </c>
      <c r="G146" s="7">
        <f>G71/G4</f>
        <v>-0.77611077664057793</v>
      </c>
    </row>
    <row r="147" spans="1:8" x14ac:dyDescent="0.2">
      <c r="A147" t="s">
        <v>273</v>
      </c>
      <c r="C147" s="7">
        <f>C81/C4</f>
        <v>5.0883285520157029E-2</v>
      </c>
      <c r="D147" s="7">
        <f>D81/D4</f>
        <v>5.3202347537637154E-2</v>
      </c>
      <c r="E147" s="7">
        <f>E81/E4</f>
        <v>5.5225636170640045E-2</v>
      </c>
      <c r="F147" s="7">
        <f>F81/F4</f>
        <v>5.5284338303206226E-2</v>
      </c>
      <c r="G147" s="7">
        <f>G81/G4</f>
        <v>5.2907886815171584E-2</v>
      </c>
      <c r="H147" s="16">
        <f>G147</f>
        <v>5.2907886815171584E-2</v>
      </c>
    </row>
    <row r="148" spans="1:8" x14ac:dyDescent="0.2">
      <c r="A148" t="s">
        <v>17</v>
      </c>
      <c r="C148" s="7">
        <f>C86/C4</f>
        <v>-8.6176959081987012E-2</v>
      </c>
      <c r="D148" s="7">
        <f>D86/D4</f>
        <v>-7.4795866292421534E-2</v>
      </c>
      <c r="E148" s="7">
        <f>E86/E4</f>
        <v>-5.3705138135812035E-2</v>
      </c>
      <c r="F148" s="7">
        <f>F86/F4</f>
        <v>-5.5970444649689935E-2</v>
      </c>
      <c r="G148" s="7">
        <f>G86/G4</f>
        <v>-6.7694160144491269E-2</v>
      </c>
      <c r="H148" s="16">
        <f>AVERAGE(C148:G148)</f>
        <v>-6.7668513660880364E-2</v>
      </c>
    </row>
    <row r="149" spans="1:8" x14ac:dyDescent="0.2">
      <c r="A149" t="s">
        <v>276</v>
      </c>
      <c r="C149" s="7">
        <f>C82/C4</f>
        <v>0.10489959232975993</v>
      </c>
      <c r="D149" s="7">
        <f>D82/D4</f>
        <v>0.10458662924215362</v>
      </c>
      <c r="E149" s="7">
        <f>E82/E4</f>
        <v>7.9955245718220158E-2</v>
      </c>
      <c r="F149" s="7">
        <f>F82/F4</f>
        <v>8.3995250032985885E-2</v>
      </c>
      <c r="G149" s="7">
        <f>G82/G4</f>
        <v>8.4503311258278146E-2</v>
      </c>
      <c r="H149" s="16">
        <f>G149</f>
        <v>8.4503311258278146E-2</v>
      </c>
    </row>
    <row r="150" spans="1:8" x14ac:dyDescent="0.2">
      <c r="A150" t="s">
        <v>22</v>
      </c>
      <c r="C150" s="7">
        <f>C47/C4</f>
        <v>8.8404046504605163E-2</v>
      </c>
      <c r="D150" s="7">
        <f>D47/D4</f>
        <v>8.6023220209237056E-2</v>
      </c>
      <c r="E150" s="7">
        <f>E47/E4</f>
        <v>7.2151935048914137E-2</v>
      </c>
      <c r="F150" s="7">
        <f>F47/F4</f>
        <v>6.5312046444121918E-2</v>
      </c>
      <c r="G150" s="7">
        <f>G47/G4</f>
        <v>7.1884406983744736E-2</v>
      </c>
      <c r="H150" s="16">
        <f>AVERAGE(C150:G150)</f>
        <v>7.6755131038124619E-2</v>
      </c>
    </row>
    <row r="151" spans="1:8" x14ac:dyDescent="0.2">
      <c r="A151" t="s">
        <v>278</v>
      </c>
      <c r="C151" s="7">
        <f>C109/C4</f>
        <v>4.8656198097538877E-2</v>
      </c>
      <c r="D151" s="7">
        <f>D109/D4</f>
        <v>2.746236284766522E-2</v>
      </c>
      <c r="E151" s="7">
        <f>E109/E4</f>
        <v>5.6057606793470466E-2</v>
      </c>
      <c r="F151" s="7">
        <f>F109/F4</f>
        <v>4.0638606676342524E-2</v>
      </c>
      <c r="G151" s="7">
        <f>G109/G4</f>
        <v>2.5021071643588199E-2</v>
      </c>
      <c r="H151" s="16">
        <f>G151</f>
        <v>2.5021071643588199E-2</v>
      </c>
    </row>
    <row r="152" spans="1:8" x14ac:dyDescent="0.2">
      <c r="A152" t="s">
        <v>170</v>
      </c>
      <c r="C152" s="13">
        <f>C56/C4</f>
        <v>0.61580854597614376</v>
      </c>
      <c r="D152" s="13">
        <f>D56/D4</f>
        <v>0.57304159224291906</v>
      </c>
      <c r="E152" s="13">
        <f>E56/E4</f>
        <v>0.56003098373353988</v>
      </c>
      <c r="F152" s="13">
        <f>F56/F4</f>
        <v>0.56265998152790608</v>
      </c>
      <c r="G152" s="13">
        <f>G56/G4</f>
        <v>0.59879590608067434</v>
      </c>
      <c r="H152" s="15">
        <f>AVERAGE(C152:G152)</f>
        <v>0.5820674019122366</v>
      </c>
    </row>
    <row r="153" spans="1:8" x14ac:dyDescent="0.2">
      <c r="A153" t="s">
        <v>279</v>
      </c>
      <c r="C153" s="7">
        <f>C97/C4</f>
        <v>-0.21417786501585384</v>
      </c>
      <c r="D153" s="7">
        <f>D97/D4</f>
        <v>-0.15236667517223781</v>
      </c>
      <c r="E153" s="7">
        <f>E97/E4</f>
        <v>-0.10789798318845568</v>
      </c>
      <c r="F153" s="7">
        <f>F97/F4</f>
        <v>-0.18152790605620794</v>
      </c>
      <c r="G153" s="7">
        <f>G97/G4</f>
        <v>-9.0620108368452745E-2</v>
      </c>
      <c r="H153" s="16">
        <f>AVERAGE(C153:G153)</f>
        <v>-0.14931810756024161</v>
      </c>
    </row>
    <row r="154" spans="1:8" x14ac:dyDescent="0.2">
      <c r="A154" t="s">
        <v>283</v>
      </c>
      <c r="C154" s="16">
        <v>5.0000000000000001E-3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498-B9CD-714C-B0B5-636E93CDA4FE}">
  <dimension ref="A1:F47"/>
  <sheetViews>
    <sheetView workbookViewId="0">
      <selection activeCell="A48" sqref="A48"/>
    </sheetView>
  </sheetViews>
  <sheetFormatPr baseColWidth="10" defaultRowHeight="16" x14ac:dyDescent="0.2"/>
  <cols>
    <col min="1" max="1" width="36.33203125" customWidth="1"/>
    <col min="2" max="2" width="12.5" bestFit="1" customWidth="1"/>
    <col min="3" max="3" width="20.6640625" bestFit="1" customWidth="1"/>
    <col min="4" max="6" width="20.33203125" bestFit="1" customWidth="1"/>
  </cols>
  <sheetData>
    <row r="1" spans="1:6" x14ac:dyDescent="0.2">
      <c r="A1" t="s">
        <v>250</v>
      </c>
    </row>
    <row r="2" spans="1:6" x14ac:dyDescent="0.2">
      <c r="A2" t="s">
        <v>265</v>
      </c>
      <c r="B2" t="s">
        <v>251</v>
      </c>
      <c r="D2" t="s">
        <v>255</v>
      </c>
      <c r="E2" s="15">
        <v>0.02</v>
      </c>
    </row>
    <row r="3" spans="1:6" x14ac:dyDescent="0.2">
      <c r="A3" t="s">
        <v>266</v>
      </c>
      <c r="B3" s="15">
        <f>5%</f>
        <v>0.05</v>
      </c>
    </row>
    <row r="4" spans="1:6" x14ac:dyDescent="0.2">
      <c r="A4" t="s">
        <v>267</v>
      </c>
      <c r="B4" s="15">
        <f>-5%</f>
        <v>-0.05</v>
      </c>
    </row>
    <row r="6" spans="1:6" x14ac:dyDescent="0.2">
      <c r="A6" t="s">
        <v>212</v>
      </c>
      <c r="B6">
        <v>2027</v>
      </c>
      <c r="C6">
        <v>2028</v>
      </c>
      <c r="D6">
        <v>2029</v>
      </c>
      <c r="E6">
        <v>2030</v>
      </c>
      <c r="F6">
        <v>2031</v>
      </c>
    </row>
    <row r="7" spans="1:6" x14ac:dyDescent="0.2">
      <c r="A7" t="s">
        <v>244</v>
      </c>
      <c r="B7" t="s">
        <v>239</v>
      </c>
      <c r="C7" t="s">
        <v>240</v>
      </c>
      <c r="D7" t="s">
        <v>241</v>
      </c>
      <c r="E7" t="s">
        <v>242</v>
      </c>
      <c r="F7" t="s">
        <v>243</v>
      </c>
    </row>
    <row r="8" spans="1:6" x14ac:dyDescent="0.2">
      <c r="A8" t="s">
        <v>218</v>
      </c>
      <c r="B8" s="20">
        <v>1</v>
      </c>
      <c r="C8" s="20"/>
      <c r="D8" s="20"/>
      <c r="E8" s="20"/>
      <c r="F8" s="20"/>
    </row>
    <row r="9" spans="1:6" x14ac:dyDescent="0.2">
      <c r="A9" t="s">
        <v>245</v>
      </c>
      <c r="B9" s="7">
        <f>Forecasting!G120*(1+Assumptions!B3)</f>
        <v>0.10058055152394775</v>
      </c>
      <c r="C9" s="7">
        <f>B9*(1+$B$4)</f>
        <v>9.5551523947750364E-2</v>
      </c>
      <c r="D9" s="7">
        <f t="shared" ref="D9:F9" si="0">C9*(1+$B$4)</f>
        <v>9.0773947750362835E-2</v>
      </c>
      <c r="E9" s="7">
        <f t="shared" si="0"/>
        <v>8.6235250362844684E-2</v>
      </c>
      <c r="F9" s="7">
        <f t="shared" si="0"/>
        <v>8.192348784470245E-2</v>
      </c>
    </row>
    <row r="10" spans="1:6" x14ac:dyDescent="0.2">
      <c r="A10" t="s">
        <v>246</v>
      </c>
      <c r="B10" s="7">
        <f>B9*(1+$B3)</f>
        <v>0.10560957910014514</v>
      </c>
      <c r="C10" s="7">
        <f t="shared" ref="C10:F10" si="1">C9*(1+$B3)</f>
        <v>0.10032910014513789</v>
      </c>
      <c r="D10" s="7">
        <f t="shared" si="1"/>
        <v>9.5312645137880986E-2</v>
      </c>
      <c r="E10" s="7">
        <f t="shared" si="1"/>
        <v>9.0547012880986918E-2</v>
      </c>
      <c r="F10" s="7">
        <f t="shared" si="1"/>
        <v>8.6019662236937577E-2</v>
      </c>
    </row>
    <row r="11" spans="1:6" x14ac:dyDescent="0.2">
      <c r="A11" t="s">
        <v>247</v>
      </c>
      <c r="B11" s="7">
        <f>B9*(1+$B$4)</f>
        <v>9.5551523947750364E-2</v>
      </c>
      <c r="C11" s="7">
        <f t="shared" ref="C11:F11" si="2">C9*(1+$B$4)</f>
        <v>9.0773947750362835E-2</v>
      </c>
      <c r="D11" s="7">
        <f t="shared" si="2"/>
        <v>8.6235250362844684E-2</v>
      </c>
      <c r="E11" s="7">
        <f t="shared" si="2"/>
        <v>8.192348784470245E-2</v>
      </c>
      <c r="F11" s="7">
        <f t="shared" si="2"/>
        <v>7.7827313452467323E-2</v>
      </c>
    </row>
    <row r="12" spans="1:6" x14ac:dyDescent="0.2">
      <c r="A12" t="s">
        <v>219</v>
      </c>
      <c r="B12" s="7">
        <f>CHOOSE($B$8, B9, B10, B11)</f>
        <v>0.10058055152394775</v>
      </c>
      <c r="C12" s="7">
        <f>CHOOSE($B$8, C9, C10, C11)</f>
        <v>9.5551523947750364E-2</v>
      </c>
      <c r="D12" s="7">
        <f t="shared" ref="D12:F12" si="3">CHOOSE($B$8, D9, D10, D11)</f>
        <v>9.0773947750362835E-2</v>
      </c>
      <c r="E12" s="7">
        <f t="shared" si="3"/>
        <v>8.6235250362844684E-2</v>
      </c>
      <c r="F12" s="7">
        <f t="shared" si="3"/>
        <v>8.192348784470245E-2</v>
      </c>
    </row>
    <row r="13" spans="1:6" x14ac:dyDescent="0.2">
      <c r="A13" t="s">
        <v>220</v>
      </c>
      <c r="B13" s="7">
        <f>Forecasting!H121</f>
        <v>0.21803901264298614</v>
      </c>
      <c r="C13" s="7">
        <f>Forecasting!I121</f>
        <v>0.21283901264298613</v>
      </c>
      <c r="D13" s="7">
        <f>Forecasting!J121</f>
        <v>0.20763901264298612</v>
      </c>
      <c r="E13" s="7">
        <f>Forecasting!K121</f>
        <v>0.20243901264298611</v>
      </c>
      <c r="F13" s="7">
        <f>Forecasting!L121</f>
        <v>0.1972390126429861</v>
      </c>
    </row>
    <row r="14" spans="1:6" x14ac:dyDescent="0.2">
      <c r="A14" t="s">
        <v>221</v>
      </c>
      <c r="B14" s="7">
        <f>CHOOSE($B$8,B13,B13*(1-$B$3),B13*(1-$B$4))</f>
        <v>0.21803901264298614</v>
      </c>
      <c r="C14" s="7">
        <f t="shared" ref="C14:F14" si="4">CHOOSE($B$8,C13,C13*(1-$B$3),C13*(1-$B$4))</f>
        <v>0.21283901264298613</v>
      </c>
      <c r="D14" s="7">
        <f t="shared" si="4"/>
        <v>0.20763901264298612</v>
      </c>
      <c r="E14" s="7">
        <f t="shared" si="4"/>
        <v>0.20243901264298611</v>
      </c>
      <c r="F14" s="7">
        <f t="shared" si="4"/>
        <v>0.1972390126429861</v>
      </c>
    </row>
    <row r="15" spans="1:6" x14ac:dyDescent="0.2">
      <c r="A15" t="s">
        <v>222</v>
      </c>
      <c r="B15" s="7">
        <f>Forecasting!H122</f>
        <v>0.1436010836845274</v>
      </c>
      <c r="C15" s="7">
        <f>Forecasting!I122</f>
        <v>0.14288307826610475</v>
      </c>
      <c r="D15" s="7">
        <f>Forecasting!J122</f>
        <v>0.14216866287477423</v>
      </c>
      <c r="E15" s="7">
        <f>Forecasting!K122</f>
        <v>0.14145781956040035</v>
      </c>
      <c r="F15" s="7">
        <f>Forecasting!L122</f>
        <v>0.14075053046259836</v>
      </c>
    </row>
    <row r="16" spans="1:6" x14ac:dyDescent="0.2">
      <c r="A16" t="s">
        <v>223</v>
      </c>
      <c r="B16" s="7">
        <f>CHOOSE($B$8,B15,B15*(1-$B$3),B15*(1-$B$4))</f>
        <v>0.1436010836845274</v>
      </c>
      <c r="C16" s="7">
        <f t="shared" ref="C16:F16" si="5">CHOOSE($B$8,C15,C15*(1-$B$3),C15*(1-$B$4))</f>
        <v>0.14288307826610475</v>
      </c>
      <c r="D16" s="7">
        <f t="shared" si="5"/>
        <v>0.14216866287477423</v>
      </c>
      <c r="E16" s="7">
        <f t="shared" si="5"/>
        <v>0.14145781956040035</v>
      </c>
      <c r="F16" s="7">
        <f t="shared" si="5"/>
        <v>0.14075053046259836</v>
      </c>
    </row>
    <row r="17" spans="1:6" x14ac:dyDescent="0.2">
      <c r="A17" t="s">
        <v>224</v>
      </c>
      <c r="B17" s="7">
        <f>Forecasting!H123</f>
        <v>0.34372727272727271</v>
      </c>
      <c r="C17" s="7">
        <f>Forecasting!I123</f>
        <v>0.34200863636363638</v>
      </c>
      <c r="D17" s="7">
        <f>Forecasting!J123</f>
        <v>0.34029859318181821</v>
      </c>
      <c r="E17" s="7">
        <f>Forecasting!K123</f>
        <v>0.33859710021590911</v>
      </c>
      <c r="F17" s="7">
        <f>Forecasting!L123</f>
        <v>0.33690411471482956</v>
      </c>
    </row>
    <row r="18" spans="1:6" x14ac:dyDescent="0.2">
      <c r="A18" t="s">
        <v>225</v>
      </c>
      <c r="B18" s="7">
        <f>CHOOSE($B$8,B17,B17*(1-$B$3),B17*(1-$B$4))</f>
        <v>0.34372727272727271</v>
      </c>
      <c r="C18" s="7">
        <f t="shared" ref="C18:F18" si="6">CHOOSE($B$8,C17,C17*(1-$B$3),C17*(1-$B$4))</f>
        <v>0.34200863636363638</v>
      </c>
      <c r="D18" s="7">
        <f t="shared" si="6"/>
        <v>0.34029859318181821</v>
      </c>
      <c r="E18" s="7">
        <f t="shared" si="6"/>
        <v>0.33859710021590911</v>
      </c>
      <c r="F18" s="7">
        <f t="shared" si="6"/>
        <v>0.33690411471482956</v>
      </c>
    </row>
    <row r="19" spans="1:6" x14ac:dyDescent="0.2">
      <c r="A19" t="s">
        <v>226</v>
      </c>
      <c r="B19" s="7">
        <f>Forecasting!H124</f>
        <v>7.1884406983744736E-2</v>
      </c>
      <c r="C19" s="7">
        <f>Forecasting!I124</f>
        <v>7.1524984948826018E-2</v>
      </c>
      <c r="D19" s="7">
        <f>Forecasting!J124</f>
        <v>7.1167360024081888E-2</v>
      </c>
      <c r="E19" s="7">
        <f>Forecasting!K124</f>
        <v>7.0811523223961476E-2</v>
      </c>
      <c r="F19" s="7">
        <f>Forecasting!L124</f>
        <v>7.0457465607841663E-2</v>
      </c>
    </row>
    <row r="20" spans="1:6" x14ac:dyDescent="0.2">
      <c r="A20" t="s">
        <v>227</v>
      </c>
      <c r="B20" s="7">
        <f>CHOOSE($B$8,B19,B19*(1-$B$3),B19*(1-$B$4))</f>
        <v>7.1884406983744736E-2</v>
      </c>
      <c r="C20" s="7">
        <f t="shared" ref="C20:F20" si="7">CHOOSE($B$8,C19,C19*(1-$B$3),C19*(1-$B$4))</f>
        <v>7.1524984948826018E-2</v>
      </c>
      <c r="D20" s="7">
        <f t="shared" si="7"/>
        <v>7.1167360024081888E-2</v>
      </c>
      <c r="E20" s="7">
        <f t="shared" si="7"/>
        <v>7.0811523223961476E-2</v>
      </c>
      <c r="F20" s="7">
        <f t="shared" si="7"/>
        <v>7.0457465607841663E-2</v>
      </c>
    </row>
    <row r="21" spans="1:6" x14ac:dyDescent="0.2">
      <c r="A21" t="s">
        <v>228</v>
      </c>
      <c r="B21" s="7">
        <f>Forecasting!H125</f>
        <v>1.4041420830824804E-2</v>
      </c>
      <c r="C21" s="7">
        <f>Forecasting!I125</f>
        <v>1.397121372667068E-2</v>
      </c>
      <c r="D21" s="7">
        <f>Forecasting!J125</f>
        <v>1.3901357658037326E-2</v>
      </c>
      <c r="E21" s="7">
        <f>Forecasting!K125</f>
        <v>1.3831850869747139E-2</v>
      </c>
      <c r="F21" s="7">
        <f>Forecasting!L125</f>
        <v>1.3762691615398403E-2</v>
      </c>
    </row>
    <row r="22" spans="1:6" x14ac:dyDescent="0.2">
      <c r="A22" t="s">
        <v>229</v>
      </c>
      <c r="B22" s="7">
        <f>CHOOSE($B$8,B21,B21*(1-$B$3),B21*(1-$B$4))</f>
        <v>1.4041420830824804E-2</v>
      </c>
      <c r="C22" s="7">
        <f t="shared" ref="C22:F22" si="8">CHOOSE($B$8,C21,C21*(1-$B$3),C21*(1-$B$4))</f>
        <v>1.397121372667068E-2</v>
      </c>
      <c r="D22" s="7">
        <f t="shared" si="8"/>
        <v>1.3901357658037326E-2</v>
      </c>
      <c r="E22" s="7">
        <f t="shared" si="8"/>
        <v>1.3831850869747139E-2</v>
      </c>
      <c r="F22" s="7">
        <f t="shared" si="8"/>
        <v>1.3762691615398403E-2</v>
      </c>
    </row>
    <row r="23" spans="1:6" x14ac:dyDescent="0.2">
      <c r="A23" t="s">
        <v>248</v>
      </c>
      <c r="B23" s="14">
        <f>Forecasting!G126</f>
        <v>4.1420830824804335E-3</v>
      </c>
      <c r="C23" s="14">
        <f>B23</f>
        <v>4.1420830824804335E-3</v>
      </c>
      <c r="D23" s="14">
        <f t="shared" ref="D23:F23" si="9">C23</f>
        <v>4.1420830824804335E-3</v>
      </c>
      <c r="E23" s="14">
        <f t="shared" si="9"/>
        <v>4.1420830824804335E-3</v>
      </c>
      <c r="F23" s="14">
        <f t="shared" si="9"/>
        <v>4.1420830824804335E-3</v>
      </c>
    </row>
    <row r="24" spans="1:6" x14ac:dyDescent="0.2">
      <c r="A24" t="s">
        <v>249</v>
      </c>
      <c r="B24" s="7">
        <f>CHOOSE($B$8,B23,B23*(1+$B$3),B23*(1+$B$4))</f>
        <v>4.1420830824804335E-3</v>
      </c>
      <c r="C24" s="7">
        <f t="shared" ref="C24:F24" si="10">CHOOSE($B$8,C23,C23*(1+$B$3),C23*(1+$B$4))</f>
        <v>4.1420830824804335E-3</v>
      </c>
      <c r="D24" s="7">
        <f t="shared" si="10"/>
        <v>4.1420830824804335E-3</v>
      </c>
      <c r="E24" s="7">
        <f t="shared" si="10"/>
        <v>4.1420830824804335E-3</v>
      </c>
      <c r="F24" s="7">
        <f t="shared" si="10"/>
        <v>4.1420830824804335E-3</v>
      </c>
    </row>
    <row r="25" spans="1:6" x14ac:dyDescent="0.2">
      <c r="A25" t="s">
        <v>230</v>
      </c>
      <c r="B25" s="7">
        <f>Forecasting!G127</f>
        <v>8.7441300421432874E-2</v>
      </c>
      <c r="C25" s="7">
        <f>B25</f>
        <v>8.7441300421432874E-2</v>
      </c>
      <c r="D25" s="7">
        <f t="shared" ref="D25:F25" si="11">C25</f>
        <v>8.7441300421432874E-2</v>
      </c>
      <c r="E25" s="7">
        <f t="shared" si="11"/>
        <v>8.7441300421432874E-2</v>
      </c>
      <c r="F25" s="7">
        <f t="shared" si="11"/>
        <v>8.7441300421432874E-2</v>
      </c>
    </row>
    <row r="26" spans="1:6" x14ac:dyDescent="0.2">
      <c r="A26" t="s">
        <v>231</v>
      </c>
      <c r="B26" s="7">
        <f>CHOOSE($B$8,B25,B25*(1-$B$3),B25*(1-$B$4))</f>
        <v>8.7441300421432874E-2</v>
      </c>
      <c r="C26" s="7">
        <f t="shared" ref="C26:F26" si="12">CHOOSE($B$8,C25,C25*(1-$B$3),C25*(1-$B$4))</f>
        <v>8.7441300421432874E-2</v>
      </c>
      <c r="D26" s="7">
        <f t="shared" si="12"/>
        <v>8.7441300421432874E-2</v>
      </c>
      <c r="E26" s="7">
        <f t="shared" si="12"/>
        <v>8.7441300421432874E-2</v>
      </c>
      <c r="F26" s="7">
        <f t="shared" si="12"/>
        <v>8.7441300421432874E-2</v>
      </c>
    </row>
    <row r="27" spans="1:6" x14ac:dyDescent="0.2">
      <c r="A27" t="s">
        <v>232</v>
      </c>
      <c r="B27" s="7">
        <f>Forecasting!G128</f>
        <v>-1.4304635761589404E-2</v>
      </c>
      <c r="C27" s="7">
        <f>B27</f>
        <v>-1.4304635761589404E-2</v>
      </c>
      <c r="D27" s="7">
        <f t="shared" ref="D27:F27" si="13">C27</f>
        <v>-1.4304635761589404E-2</v>
      </c>
      <c r="E27" s="7">
        <f t="shared" si="13"/>
        <v>-1.4304635761589404E-2</v>
      </c>
      <c r="F27" s="7">
        <f t="shared" si="13"/>
        <v>-1.4304635761589404E-2</v>
      </c>
    </row>
    <row r="28" spans="1:6" x14ac:dyDescent="0.2">
      <c r="A28" t="s">
        <v>233</v>
      </c>
      <c r="B28" s="7">
        <f>CHOOSE($B$8,B27,B27*(1-$B$3),B27*(1-$B$4))</f>
        <v>-1.4304635761589404E-2</v>
      </c>
      <c r="C28" s="7">
        <f t="shared" ref="C28:F28" si="14">CHOOSE($B$8,C27,C27*(1-$B$3),C27*(1-$B$4))</f>
        <v>-1.4304635761589404E-2</v>
      </c>
      <c r="D28" s="7">
        <f t="shared" si="14"/>
        <v>-1.4304635761589404E-2</v>
      </c>
      <c r="E28" s="7">
        <f t="shared" si="14"/>
        <v>-1.4304635761589404E-2</v>
      </c>
      <c r="F28" s="7">
        <f t="shared" si="14"/>
        <v>-1.4304635761589404E-2</v>
      </c>
    </row>
    <row r="29" spans="1:6" x14ac:dyDescent="0.2">
      <c r="A29" t="s">
        <v>234</v>
      </c>
      <c r="B29" s="12">
        <f>AVERAGE(Forecasting!C129:G129)</f>
        <v>124.00043053955714</v>
      </c>
      <c r="C29" s="12">
        <f>B29</f>
        <v>124.00043053955714</v>
      </c>
      <c r="D29" s="12">
        <f t="shared" ref="D29:F29" si="15">C29</f>
        <v>124.00043053955714</v>
      </c>
      <c r="E29" s="12">
        <f t="shared" si="15"/>
        <v>124.00043053955714</v>
      </c>
      <c r="F29" s="12">
        <f t="shared" si="15"/>
        <v>124.00043053955714</v>
      </c>
    </row>
    <row r="30" spans="1:6" x14ac:dyDescent="0.2">
      <c r="A30" t="s">
        <v>235</v>
      </c>
      <c r="B30" s="12">
        <f>CHOOSE($B$8,B29,B29*(1-$B$3),B29*(1-$B$4))</f>
        <v>124.00043053955714</v>
      </c>
      <c r="C30" s="12">
        <f t="shared" ref="C30:F30" si="16">CHOOSE($B$8,C29,C29*(1-$B$3),C29*(1-$B$4))</f>
        <v>124.00043053955714</v>
      </c>
      <c r="D30" s="12">
        <f t="shared" si="16"/>
        <v>124.00043053955714</v>
      </c>
      <c r="E30" s="12">
        <f t="shared" si="16"/>
        <v>124.00043053955714</v>
      </c>
      <c r="F30" s="12">
        <f t="shared" si="16"/>
        <v>124.00043053955714</v>
      </c>
    </row>
    <row r="31" spans="1:6" x14ac:dyDescent="0.2">
      <c r="A31" t="s">
        <v>236</v>
      </c>
      <c r="B31" s="12">
        <f>AVERAGE(Forecasting!C130:G130)</f>
        <v>289.1698948780313</v>
      </c>
      <c r="C31" s="12">
        <f>B31</f>
        <v>289.1698948780313</v>
      </c>
      <c r="D31" s="12">
        <f t="shared" ref="D31:F31" si="17">C31</f>
        <v>289.1698948780313</v>
      </c>
      <c r="E31" s="12">
        <f t="shared" si="17"/>
        <v>289.1698948780313</v>
      </c>
      <c r="F31" s="12">
        <f t="shared" si="17"/>
        <v>289.1698948780313</v>
      </c>
    </row>
    <row r="32" spans="1:6" x14ac:dyDescent="0.2">
      <c r="A32" t="s">
        <v>237</v>
      </c>
      <c r="B32" s="12">
        <f>CHOOSE($B$8,B31,B31*(1+$B$3),B31*(1+$B$4))</f>
        <v>289.1698948780313</v>
      </c>
      <c r="C32" s="12">
        <f t="shared" ref="C32:F32" si="18">CHOOSE($B$8,C31,C31*(1+$B$3),C31*(1+$B$4))</f>
        <v>289.1698948780313</v>
      </c>
      <c r="D32" s="12">
        <f t="shared" si="18"/>
        <v>289.1698948780313</v>
      </c>
      <c r="E32" s="12">
        <f t="shared" si="18"/>
        <v>289.1698948780313</v>
      </c>
      <c r="F32" s="12">
        <f t="shared" si="18"/>
        <v>289.1698948780313</v>
      </c>
    </row>
    <row r="33" spans="1:6" x14ac:dyDescent="0.2">
      <c r="A33" t="s">
        <v>238</v>
      </c>
      <c r="B33" s="7">
        <f>Forecasting!G132</f>
        <v>0.21670168067226891</v>
      </c>
      <c r="C33" s="7">
        <f>B33</f>
        <v>0.21670168067226891</v>
      </c>
      <c r="D33" s="7">
        <f t="shared" ref="D33:F33" si="19">C33</f>
        <v>0.21670168067226891</v>
      </c>
      <c r="E33" s="7">
        <f t="shared" si="19"/>
        <v>0.21670168067226891</v>
      </c>
      <c r="F33" s="7">
        <f t="shared" si="19"/>
        <v>0.21670168067226891</v>
      </c>
    </row>
    <row r="34" spans="1:6" x14ac:dyDescent="0.2">
      <c r="A34" t="s">
        <v>253</v>
      </c>
      <c r="B34" s="16">
        <f>AVERAGE(Forecasting!C134:G134)</f>
        <v>4.6254374808861534E-2</v>
      </c>
      <c r="C34" s="7">
        <f>B34*(1+0.02)</f>
        <v>4.7179462305038763E-2</v>
      </c>
      <c r="D34" s="7">
        <f t="shared" ref="D34:F34" si="20">C34*(1+0.02)</f>
        <v>4.8123051551139537E-2</v>
      </c>
      <c r="E34" s="7">
        <f t="shared" si="20"/>
        <v>4.908551258216233E-2</v>
      </c>
      <c r="F34" s="7">
        <f t="shared" si="20"/>
        <v>5.0067222833805575E-2</v>
      </c>
    </row>
    <row r="35" spans="1:6" x14ac:dyDescent="0.2">
      <c r="A35" t="s">
        <v>254</v>
      </c>
      <c r="B35" s="7">
        <f>CHOOSE($B$8,B34,B34*(1-$B$3),B34*(1-$B$4))</f>
        <v>4.6254374808861534E-2</v>
      </c>
      <c r="C35" s="7">
        <f t="shared" ref="C35:F35" si="21">CHOOSE($B$8,C34,C34*(1-$B$3),C34*(1-$B$4))</f>
        <v>4.7179462305038763E-2</v>
      </c>
      <c r="D35" s="7">
        <f t="shared" si="21"/>
        <v>4.8123051551139537E-2</v>
      </c>
      <c r="E35" s="7">
        <f t="shared" si="21"/>
        <v>4.908551258216233E-2</v>
      </c>
      <c r="F35" s="7">
        <f t="shared" si="21"/>
        <v>5.0067222833805575E-2</v>
      </c>
    </row>
    <row r="36" spans="1:6" x14ac:dyDescent="0.2">
      <c r="A36" t="s">
        <v>156</v>
      </c>
      <c r="B36" s="16">
        <f>AVERAGE(Forecasting!C135:G135)</f>
        <v>5.363309941378408E-2</v>
      </c>
      <c r="C36" s="16">
        <f>B36*(1+$E$2)</f>
        <v>5.4705761402059759E-2</v>
      </c>
      <c r="D36" s="16">
        <f t="shared" ref="D36:F36" si="22">C36*(1+$E$2)</f>
        <v>5.5799876630100956E-2</v>
      </c>
      <c r="E36" s="16">
        <f t="shared" si="22"/>
        <v>5.6915874162702974E-2</v>
      </c>
      <c r="F36" s="16">
        <f t="shared" si="22"/>
        <v>5.8054191645957036E-2</v>
      </c>
    </row>
    <row r="37" spans="1:6" x14ac:dyDescent="0.2">
      <c r="A37" t="s">
        <v>256</v>
      </c>
      <c r="B37" s="7">
        <f>CHOOSE($B$8,B36,B36*(1-$B$3),B36*(1-$B$4))</f>
        <v>5.363309941378408E-2</v>
      </c>
      <c r="C37" s="7">
        <f t="shared" ref="C37:F37" si="23">CHOOSE($B$8,C36,C36*(1-$B$3),C36*(1-$B$4))</f>
        <v>5.4705761402059759E-2</v>
      </c>
      <c r="D37" s="7">
        <f t="shared" si="23"/>
        <v>5.5799876630100956E-2</v>
      </c>
      <c r="E37" s="7">
        <f t="shared" si="23"/>
        <v>5.6915874162702974E-2</v>
      </c>
      <c r="F37" s="7">
        <f t="shared" si="23"/>
        <v>5.8054191645957036E-2</v>
      </c>
    </row>
    <row r="38" spans="1:6" x14ac:dyDescent="0.2">
      <c r="A38" t="s">
        <v>257</v>
      </c>
      <c r="B38" s="7">
        <f>AVERAGE(Forecasting!C136:G136)</f>
        <v>9.8139759511478714E-2</v>
      </c>
      <c r="C38" s="7">
        <f t="shared" ref="C38:C44" si="24">B38</f>
        <v>9.8139759511478714E-2</v>
      </c>
      <c r="D38" s="7">
        <f t="shared" ref="D38:F38" si="25">C38</f>
        <v>9.8139759511478714E-2</v>
      </c>
      <c r="E38" s="7">
        <f t="shared" si="25"/>
        <v>9.8139759511478714E-2</v>
      </c>
      <c r="F38" s="7">
        <f t="shared" si="25"/>
        <v>9.8139759511478714E-2</v>
      </c>
    </row>
    <row r="39" spans="1:6" x14ac:dyDescent="0.2">
      <c r="A39" t="s">
        <v>258</v>
      </c>
      <c r="B39" s="7">
        <f>AVERAGE(Forecasting!D137:G137)</f>
        <v>-2.1899442404507669E-2</v>
      </c>
      <c r="C39" s="7">
        <f t="shared" si="24"/>
        <v>-2.1899442404507669E-2</v>
      </c>
      <c r="D39" s="7">
        <f t="shared" ref="D39:F39" si="26">C39</f>
        <v>-2.1899442404507669E-2</v>
      </c>
      <c r="E39" s="7">
        <f t="shared" si="26"/>
        <v>-2.1899442404507669E-2</v>
      </c>
      <c r="F39" s="7">
        <f t="shared" si="26"/>
        <v>-2.1899442404507669E-2</v>
      </c>
    </row>
    <row r="40" spans="1:6" x14ac:dyDescent="0.2">
      <c r="A40" t="s">
        <v>259</v>
      </c>
      <c r="B40" s="7">
        <f>AVERAGE(Forecasting!C138:G138)</f>
        <v>0.15590529995565189</v>
      </c>
      <c r="C40" s="7">
        <f t="shared" si="24"/>
        <v>0.15590529995565189</v>
      </c>
      <c r="D40" s="7">
        <f t="shared" ref="D40:F40" si="27">C40</f>
        <v>0.15590529995565189</v>
      </c>
      <c r="E40" s="7">
        <f t="shared" si="27"/>
        <v>0.15590529995565189</v>
      </c>
      <c r="F40" s="7">
        <f t="shared" si="27"/>
        <v>0.15590529995565189</v>
      </c>
    </row>
    <row r="41" spans="1:6" x14ac:dyDescent="0.2">
      <c r="A41" t="s">
        <v>260</v>
      </c>
      <c r="B41" s="7">
        <f>AVERAGE(Forecasting!C139:G139)</f>
        <v>0.10001016169583576</v>
      </c>
      <c r="C41" s="7">
        <f t="shared" si="24"/>
        <v>0.10001016169583576</v>
      </c>
      <c r="D41" s="7">
        <f t="shared" ref="D41:F41" si="28">C41</f>
        <v>0.10001016169583576</v>
      </c>
      <c r="E41" s="7">
        <f t="shared" si="28"/>
        <v>0.10001016169583576</v>
      </c>
      <c r="F41" s="7">
        <f t="shared" si="28"/>
        <v>0.10001016169583576</v>
      </c>
    </row>
    <row r="42" spans="1:6" x14ac:dyDescent="0.2">
      <c r="A42" t="s">
        <v>271</v>
      </c>
      <c r="B42" s="7">
        <f>Forecasting!G142-0.05%</f>
        <v>5.2215231788079471E-2</v>
      </c>
      <c r="C42" s="7">
        <f t="shared" si="24"/>
        <v>5.2215231788079471E-2</v>
      </c>
      <c r="D42" s="7">
        <f t="shared" ref="D42:F42" si="29">C42</f>
        <v>5.2215231788079471E-2</v>
      </c>
      <c r="E42" s="7">
        <f t="shared" si="29"/>
        <v>5.2215231788079471E-2</v>
      </c>
      <c r="F42" s="7">
        <f t="shared" si="29"/>
        <v>5.2215231788079471E-2</v>
      </c>
    </row>
    <row r="43" spans="1:6" x14ac:dyDescent="0.2">
      <c r="A43" t="s">
        <v>261</v>
      </c>
      <c r="B43" s="7">
        <f>AVERAGE(Forecasting!C143:G143)</f>
        <v>0.14471021791377087</v>
      </c>
      <c r="C43" s="7">
        <f t="shared" si="24"/>
        <v>0.14471021791377087</v>
      </c>
      <c r="D43" s="7">
        <f t="shared" ref="D43:F43" si="30">C43</f>
        <v>0.14471021791377087</v>
      </c>
      <c r="E43" s="7">
        <f t="shared" si="30"/>
        <v>0.14471021791377087</v>
      </c>
      <c r="F43" s="7">
        <f t="shared" si="30"/>
        <v>0.14471021791377087</v>
      </c>
    </row>
    <row r="44" spans="1:6" x14ac:dyDescent="0.2">
      <c r="A44" t="s">
        <v>262</v>
      </c>
      <c r="B44" s="7">
        <f>AVERAGE(Forecasting!C145:G145)</f>
        <v>-4.1884458371468378E-3</v>
      </c>
      <c r="C44" s="7">
        <f t="shared" si="24"/>
        <v>-4.1884458371468378E-3</v>
      </c>
      <c r="D44" s="7">
        <f t="shared" ref="D44:F44" si="31">C44</f>
        <v>-4.1884458371468378E-3</v>
      </c>
      <c r="E44" s="7">
        <f t="shared" si="31"/>
        <v>-4.1884458371468378E-3</v>
      </c>
      <c r="F44" s="7">
        <f t="shared" si="31"/>
        <v>-4.1884458371468378E-3</v>
      </c>
    </row>
    <row r="45" spans="1:6" x14ac:dyDescent="0.2">
      <c r="A45" t="s">
        <v>263</v>
      </c>
      <c r="B45" s="7">
        <f>AVERAGE(Forecasting!C146:G146)</f>
        <v>-0.35077728577816547</v>
      </c>
      <c r="C45" s="7">
        <f>AVERAGE(Forecasting!D146:H146)</f>
        <v>-0.43847160722270684</v>
      </c>
      <c r="D45" s="7">
        <f>AVERAGE(Forecasting!E146:I146)</f>
        <v>-0.54210095388476243</v>
      </c>
      <c r="E45" s="7">
        <f>AVERAGE(Forecasting!F146:J146)</f>
        <v>-0.64543762872139732</v>
      </c>
      <c r="F45" s="7">
        <f>AVERAGE(Forecasting!G146:K146)</f>
        <v>-0.77611077664057793</v>
      </c>
    </row>
    <row r="46" spans="1:6" x14ac:dyDescent="0.2">
      <c r="B46" s="16"/>
      <c r="C46" s="16"/>
      <c r="D46" s="16"/>
      <c r="E46" s="16"/>
      <c r="F46" s="16"/>
    </row>
    <row r="47" spans="1:6" x14ac:dyDescent="0.2">
      <c r="A47" t="s">
        <v>284</v>
      </c>
    </row>
  </sheetData>
  <mergeCells count="1">
    <mergeCell ref="B8:F8"/>
  </mergeCells>
  <phoneticPr fontId="3" type="noConversion"/>
  <dataValidations count="1">
    <dataValidation type="list" allowBlank="1" showInputMessage="1" showErrorMessage="1" sqref="B8" xr:uid="{E988833D-ACCA-794C-817B-89429EE986BF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IS26</vt:lpstr>
      <vt:lpstr>BS 2026</vt:lpstr>
      <vt:lpstr>CF26</vt:lpstr>
      <vt:lpstr>Forecasting</vt:lpstr>
      <vt:lpstr>Assumptions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Rastogi</dc:creator>
  <cp:lastModifiedBy>Priya Rastogi</cp:lastModifiedBy>
  <dcterms:created xsi:type="dcterms:W3CDTF">2026-03-24T21:19:01Z</dcterms:created>
  <dcterms:modified xsi:type="dcterms:W3CDTF">2026-07-04T06:08:17Z</dcterms:modified>
</cp:coreProperties>
</file>