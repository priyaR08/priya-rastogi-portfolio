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960" yWindow="660" windowWidth="26520" windowHeight="17180" tabRatio="600" firstSheet="0" activeTab="3" autoFilterDateGrouping="1"/>
  </bookViews>
  <sheets>
    <sheet xmlns:r="http://schemas.openxmlformats.org/officeDocument/2006/relationships" name="Valuation" sheetId="1" state="visible" r:id="rId1"/>
    <sheet xmlns:r="http://schemas.openxmlformats.org/officeDocument/2006/relationships" name="IS26" sheetId="2" state="visible" r:id="rId2"/>
    <sheet xmlns:r="http://schemas.openxmlformats.org/officeDocument/2006/relationships" name="BS 2026" sheetId="3" state="visible" r:id="rId3"/>
    <sheet xmlns:r="http://schemas.openxmlformats.org/officeDocument/2006/relationships" name="CF26" sheetId="4" state="visible" r:id="rId4"/>
    <sheet xmlns:r="http://schemas.openxmlformats.org/officeDocument/2006/relationships" name="Forecasting" sheetId="5" state="visible" r:id="rId5"/>
    <sheet xmlns:r="http://schemas.openxmlformats.org/officeDocument/2006/relationships" name="Assumptions" sheetId="6" state="visible" r:id="rId6"/>
  </sheets>
  <definedNames>
    <definedName name="Scenario">Assumptions!$B$8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_(&quot;$&quot;* #,##0.00_);_(&quot;$&quot;* \(#,##0.00\);_(&quot;$&quot;* &quot;-&quot;??_);_(@_)"/>
    <numFmt numFmtId="165" formatCode="0.000000000000000%"/>
    <numFmt numFmtId="166" formatCode="0.0%"/>
    <numFmt numFmtId="167" formatCode="_($* #,##0.0_);_($* (#,##0.0);_($* &quot;-&quot;??_);_(@_)"/>
    <numFmt numFmtId="168" formatCode="0.0000"/>
    <numFmt numFmtId="169" formatCode="_($* #,##0.00_);_($* (#,##0.00);_($* &quot;-&quot;??_);_(@_)"/>
    <numFmt numFmtId="170" formatCode="_($* #,##0_);_($* (#,##0);_($* &quot;-&quot;??_);_(@_)"/>
    <numFmt numFmtId="171" formatCode="0.0&quot;x&quot;"/>
  </numFmts>
  <fonts count="17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rial"/>
      <family val="2"/>
      <sz val="10"/>
    </font>
    <font>
      <name val="Aptos Narrow"/>
      <family val="2"/>
      <sz val="8"/>
      <scheme val="minor"/>
    </font>
    <font>
      <b val="1"/>
      <color rgb="002E86AB"/>
      <sz val="14"/>
    </font>
    <font>
      <i val="1"/>
      <sz val="10"/>
    </font>
    <font>
      <b val="1"/>
      <color rgb="00FFFFFF"/>
      <sz val="12"/>
    </font>
    <font>
      <b val="1"/>
      <sz val="11"/>
    </font>
    <font>
      <b val="1"/>
    </font>
    <font>
      <i val="1"/>
      <sz val="9"/>
    </font>
    <font>
      <b val="1"/>
      <color rgb="002E86AB"/>
      <sz val="11"/>
    </font>
    <font>
      <b val="1"/>
      <color rgb="002E86AB"/>
    </font>
    <font>
      <b val="1"/>
      <color rgb="0006A77D"/>
      <sz val="11"/>
    </font>
    <font>
      <b val="1"/>
      <sz val="10"/>
    </font>
    <font>
      <b val="1"/>
      <sz val="9"/>
    </font>
    <font>
      <sz val="9"/>
    </font>
    <font>
      <b val="1"/>
      <color rgb="00FFFFFF"/>
      <sz val="14"/>
    </font>
  </fonts>
  <fills count="9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002E86AB"/>
        <bgColor rgb="002E86AB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E6F3FF"/>
        <bgColor rgb="00E6F3FF"/>
      </patternFill>
    </fill>
    <fill>
      <patternFill patternType="solid">
        <fgColor rgb="00F77F00"/>
        <bgColor rgb="00F77F00"/>
      </patternFill>
    </fill>
    <fill>
      <patternFill patternType="solid">
        <fgColor rgb="0006A77D"/>
        <bgColor rgb="0006A77D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1" fillId="0" borderId="0"/>
    <xf numFmtId="9" fontId="1" fillId="0" borderId="0"/>
    <xf numFmtId="43" fontId="1" fillId="0" borderId="0"/>
  </cellStyleXfs>
  <cellXfs count="59">
    <xf numFmtId="0" fontId="0" fillId="0" borderId="0" pivotButton="0" quotePrefix="0" xfId="0"/>
    <xf numFmtId="0" fontId="2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42" fontId="2" fillId="0" borderId="0" applyAlignment="1" pivotButton="0" quotePrefix="0" xfId="0">
      <alignment vertical="top"/>
    </xf>
    <xf numFmtId="37" fontId="2" fillId="0" borderId="0" applyAlignment="1" pivotButton="0" quotePrefix="0" xfId="0">
      <alignment vertical="top"/>
    </xf>
    <xf numFmtId="164" fontId="2" fillId="0" borderId="0" applyAlignment="1" pivotButton="0" quotePrefix="0" xfId="0">
      <alignment vertical="top"/>
    </xf>
    <xf numFmtId="37" fontId="0" fillId="0" borderId="0" pivotButton="0" quotePrefix="0" xfId="0"/>
    <xf numFmtId="10" fontId="0" fillId="0" borderId="0" pivotButton="0" quotePrefix="0" xfId="1"/>
    <xf numFmtId="1" fontId="0" fillId="0" borderId="0" pivotButton="0" quotePrefix="0" xfId="0"/>
    <xf numFmtId="37" fontId="0" fillId="0" borderId="1" pivotButton="0" quotePrefix="0" xfId="0"/>
    <xf numFmtId="37" fontId="0" fillId="0" borderId="2" pivotButton="0" quotePrefix="0" xfId="0"/>
    <xf numFmtId="0" fontId="0" fillId="0" borderId="2" pivotButton="0" quotePrefix="0" xfId="0"/>
    <xf numFmtId="1" fontId="0" fillId="0" borderId="0" pivotButton="0" quotePrefix="0" xfId="1"/>
    <xf numFmtId="9" fontId="0" fillId="0" borderId="0" pivotButton="0" quotePrefix="0" xfId="1"/>
    <xf numFmtId="10" fontId="0" fillId="0" borderId="0" pivotButton="0" quotePrefix="0" xfId="2"/>
    <xf numFmtId="9" fontId="0" fillId="0" borderId="0" pivotButton="0" quotePrefix="0" xfId="0"/>
    <xf numFmtId="10" fontId="0" fillId="0" borderId="0" pivotButton="0" quotePrefix="0" xfId="0"/>
    <xf numFmtId="1" fontId="0" fillId="0" borderId="2" pivotButton="0" quotePrefix="0" xfId="0"/>
    <xf numFmtId="37" fontId="2" fillId="0" borderId="2" applyAlignment="1" pivotButton="0" quotePrefix="0" xfId="0">
      <alignment vertical="top"/>
    </xf>
    <xf numFmtId="42" fontId="2" fillId="0" borderId="2" applyAlignment="1" pivotButton="0" quotePrefix="0" xfId="0">
      <alignment vertical="top"/>
    </xf>
    <xf numFmtId="0" fontId="0" fillId="2" borderId="0" applyAlignment="1" pivotButton="0" quotePrefix="0" xfId="0">
      <alignment horizontal="center"/>
    </xf>
    <xf numFmtId="165" fontId="0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/>
    </xf>
    <xf numFmtId="0" fontId="6" fillId="3" borderId="0" applyAlignment="1" pivotButton="0" quotePrefix="0" xfId="0">
      <alignment horizontal="left" vertical="center"/>
    </xf>
    <xf numFmtId="0" fontId="7" fillId="4" borderId="0" pivotButton="0" quotePrefix="0" xfId="0"/>
    <xf numFmtId="166" fontId="8" fillId="0" borderId="0" pivotButton="0" quotePrefix="0" xfId="0"/>
    <xf numFmtId="0" fontId="9" fillId="0" borderId="0" pivotButton="0" quotePrefix="0" xfId="0"/>
    <xf numFmtId="0" fontId="8" fillId="0" borderId="0" pivotButton="0" quotePrefix="0" xfId="0"/>
    <xf numFmtId="166" fontId="0" fillId="0" borderId="0" pivotButton="0" quotePrefix="0" xfId="0"/>
    <xf numFmtId="3" fontId="8" fillId="0" borderId="0" pivotButton="0" quotePrefix="0" xfId="0"/>
    <xf numFmtId="167" fontId="8" fillId="0" borderId="0" pivotButton="0" quotePrefix="0" xfId="0"/>
    <xf numFmtId="166" fontId="10" fillId="0" borderId="0" pivotButton="0" quotePrefix="0" xfId="0"/>
    <xf numFmtId="0" fontId="8" fillId="5" borderId="0" applyAlignment="1" pivotButton="0" quotePrefix="0" xfId="0">
      <alignment horizontal="center"/>
    </xf>
    <xf numFmtId="167" fontId="0" fillId="0" borderId="0" pivotButton="0" quotePrefix="0" xfId="0"/>
    <xf numFmtId="0" fontId="11" fillId="0" borderId="0" pivotButton="0" quotePrefix="0" xfId="0"/>
    <xf numFmtId="167" fontId="11" fillId="6" borderId="0" pivotButton="0" quotePrefix="0" xfId="0"/>
    <xf numFmtId="167" fontId="7" fillId="0" borderId="0" pivotButton="0" quotePrefix="0" xfId="0"/>
    <xf numFmtId="168" fontId="0" fillId="0" borderId="0" pivotButton="0" quotePrefix="0" xfId="0"/>
    <xf numFmtId="0" fontId="7" fillId="0" borderId="0" pivotButton="0" quotePrefix="0" xfId="0"/>
    <xf numFmtId="167" fontId="10" fillId="0" borderId="0" pivotButton="0" quotePrefix="0" xfId="0"/>
    <xf numFmtId="3" fontId="0" fillId="0" borderId="0" pivotButton="0" quotePrefix="0" xfId="0"/>
    <xf numFmtId="169" fontId="6" fillId="3" borderId="0" pivotButton="0" quotePrefix="0" xfId="0"/>
    <xf numFmtId="169" fontId="0" fillId="0" borderId="0" pivotButton="0" quotePrefix="0" xfId="0"/>
    <xf numFmtId="166" fontId="12" fillId="0" borderId="0" pivotButton="0" quotePrefix="0" xfId="0"/>
    <xf numFmtId="42" fontId="2" fillId="0" borderId="0" applyAlignment="1" pivotButton="0" quotePrefix="0" xfId="0">
      <alignment vertical="top"/>
    </xf>
    <xf numFmtId="42" fontId="2" fillId="0" borderId="2" applyAlignment="1" pivotButton="0" quotePrefix="0" xfId="0">
      <alignment vertical="top"/>
    </xf>
    <xf numFmtId="164" fontId="2" fillId="0" borderId="0" applyAlignment="1" pivotButton="0" quotePrefix="0" xfId="0">
      <alignment vertical="top"/>
    </xf>
    <xf numFmtId="165" fontId="0" fillId="0" borderId="0" pivotButton="0" quotePrefix="0" xfId="0"/>
    <xf numFmtId="0" fontId="13" fillId="0" borderId="0" applyAlignment="1" pivotButton="0" quotePrefix="0" xfId="0">
      <alignment horizontal="right" vertical="center"/>
    </xf>
    <xf numFmtId="166" fontId="14" fillId="4" borderId="0" applyAlignment="1" pivotButton="0" quotePrefix="0" xfId="0">
      <alignment horizontal="center"/>
    </xf>
    <xf numFmtId="0" fontId="14" fillId="0" borderId="0" applyAlignment="1" pivotButton="0" quotePrefix="0" xfId="0">
      <alignment horizontal="center" vertical="top"/>
    </xf>
    <xf numFmtId="170" fontId="15" fillId="0" borderId="0" applyAlignment="1" pivotButton="0" quotePrefix="0" xfId="0">
      <alignment horizontal="center"/>
    </xf>
    <xf numFmtId="171" fontId="0" fillId="0" borderId="0" pivotButton="0" quotePrefix="0" xfId="0"/>
    <xf numFmtId="171" fontId="11" fillId="0" borderId="0" pivotButton="0" quotePrefix="0" xfId="0"/>
    <xf numFmtId="0" fontId="8" fillId="5" borderId="0" pivotButton="0" quotePrefix="0" xfId="0"/>
    <xf numFmtId="169" fontId="12" fillId="0" borderId="0" pivotButton="0" quotePrefix="0" xfId="0"/>
    <xf numFmtId="169" fontId="6" fillId="7" borderId="0" pivotButton="0" quotePrefix="0" xfId="0"/>
    <xf numFmtId="0" fontId="16" fillId="8" borderId="0" applyAlignment="1" pivotButton="0" quotePrefix="0" xfId="0">
      <alignment horizontal="center"/>
    </xf>
  </cellXfs>
  <cellStyles count="3">
    <cellStyle name="Normal" xfId="0" builtinId="0"/>
    <cellStyle name="Per cent" xfId="1" builtinId="5"/>
    <cellStyle name="Comma" xfId="2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22" t="inlineStr">
        <is>
          <t>SALESFORCE DCF &amp; TRADING COMPS VALUATION</t>
        </is>
      </c>
    </row>
    <row r="2">
      <c r="A2" s="23" t="inlineStr">
        <is>
          <t>Priya Rastogi | MS Financial Analytics 2026</t>
        </is>
      </c>
    </row>
    <row r="4">
      <c r="A4" s="24" t="inlineStr">
        <is>
          <t>I. KEY ASSUMPTIONS (Update These Inputs)</t>
        </is>
      </c>
    </row>
    <row r="5">
      <c r="A5" s="25" t="inlineStr">
        <is>
          <t>DCF Assumptions</t>
        </is>
      </c>
    </row>
    <row r="6">
      <c r="A6" t="inlineStr">
        <is>
          <t>Risk-Free Rate (10-Yr Treasury)</t>
        </is>
      </c>
      <c r="B6" s="26" t="n">
        <v>0.042</v>
      </c>
      <c r="C6" s="27" t="inlineStr">
        <is>
          <t>Source: FRED / Bloomberg</t>
        </is>
      </c>
    </row>
    <row r="7">
      <c r="A7" t="inlineStr">
        <is>
          <t>Beta (Salesforce)</t>
        </is>
      </c>
      <c r="B7" s="28" t="n">
        <v>1.05</v>
      </c>
      <c r="C7" s="27" t="inlineStr">
        <is>
          <t>Source: Yahoo Finance / Bloomberg</t>
        </is>
      </c>
    </row>
    <row r="8">
      <c r="A8" t="inlineStr">
        <is>
          <t>Equity Risk Premium</t>
        </is>
      </c>
      <c r="B8" s="26" t="n">
        <v>0.06</v>
      </c>
      <c r="C8" s="27" t="inlineStr">
        <is>
          <t>Historical average ~6%</t>
        </is>
      </c>
    </row>
    <row r="9">
      <c r="A9" t="inlineStr">
        <is>
          <t>Cost of Debt (Pre-tax)</t>
        </is>
      </c>
      <c r="B9" s="26" t="n">
        <v>0.045</v>
      </c>
    </row>
    <row r="10">
      <c r="A10" t="inlineStr">
        <is>
          <t>Tax Rate</t>
        </is>
      </c>
      <c r="B10" s="29">
        <f>'Assumptions'!B33</f>
        <v/>
      </c>
    </row>
    <row r="11">
      <c r="A11" t="inlineStr">
        <is>
          <t>Weight: Equity</t>
        </is>
      </c>
      <c r="B11" s="26" t="n">
        <v>0.85</v>
      </c>
    </row>
    <row r="12">
      <c r="A12" t="inlineStr">
        <is>
          <t>Weight: Debt</t>
        </is>
      </c>
      <c r="B12" s="26" t="n">
        <v>0.15</v>
      </c>
    </row>
    <row r="13">
      <c r="A13" t="inlineStr">
        <is>
          <t>Perpetual Growth Rate (Terminal)</t>
        </is>
      </c>
      <c r="B13" s="26" t="n">
        <v>0.025</v>
      </c>
      <c r="C13" s="27" t="inlineStr">
        <is>
          <t>Conservative: 2-2.5%</t>
        </is>
      </c>
    </row>
    <row r="15">
      <c r="A15" s="25" t="inlineStr">
        <is>
          <t>Market Data</t>
        </is>
      </c>
    </row>
    <row r="16">
      <c r="A16" t="inlineStr">
        <is>
          <t>Shares Outstanding (Millions)</t>
        </is>
      </c>
      <c r="B16" s="30" t="n">
        <v>946</v>
      </c>
      <c r="C16" s="27" t="inlineStr">
        <is>
          <t>From FY2026 10-K</t>
        </is>
      </c>
    </row>
    <row r="17">
      <c r="A17" t="inlineStr">
        <is>
          <t>Current Stock Price</t>
        </is>
      </c>
      <c r="B17" s="31" t="n">
        <v>245</v>
      </c>
      <c r="C17" s="27" t="inlineStr">
        <is>
          <t>Update with latest</t>
        </is>
      </c>
    </row>
    <row r="19">
      <c r="A19" s="24" t="inlineStr">
        <is>
          <t>II. WACC CALCULATION</t>
        </is>
      </c>
    </row>
    <row r="20">
      <c r="A20" t="inlineStr">
        <is>
          <t>Cost of Equity (CAPM)</t>
        </is>
      </c>
      <c r="B20" s="29">
        <f>B6+B7*B8</f>
        <v/>
      </c>
      <c r="C20" s="27" t="inlineStr">
        <is>
          <t>Rf + Beta × ERP</t>
        </is>
      </c>
    </row>
    <row r="21">
      <c r="A21" t="inlineStr">
        <is>
          <t>After-Tax Cost of Debt</t>
        </is>
      </c>
      <c r="B21" s="29">
        <f>B9*(1-B10)</f>
        <v/>
      </c>
      <c r="C21" s="27" t="inlineStr">
        <is>
          <t>Kd × (1 - Tax)</t>
        </is>
      </c>
    </row>
    <row r="22">
      <c r="A22" t="inlineStr">
        <is>
          <t>WACC</t>
        </is>
      </c>
      <c r="B22" s="32">
        <f>(B11*B20)+(B12*B21)</f>
        <v/>
      </c>
      <c r="C22" s="27" t="inlineStr">
        <is>
          <t>(E/V)×Re + (D/V)×Rd×(1-Tax)</t>
        </is>
      </c>
    </row>
    <row r="24">
      <c r="A24" s="24" t="inlineStr">
        <is>
          <t>III. UNLEVERED FREE CASH FLOW FORECAST (FY2027-2031)</t>
        </is>
      </c>
    </row>
    <row r="25">
      <c r="A25" s="33" t="inlineStr">
        <is>
          <t>Year</t>
        </is>
      </c>
      <c r="B25" s="33" t="n">
        <v>2027</v>
      </c>
      <c r="C25" s="33" t="n">
        <v>2028</v>
      </c>
      <c r="D25" s="33" t="n">
        <v>2029</v>
      </c>
      <c r="E25" s="33" t="n">
        <v>2030</v>
      </c>
      <c r="F25" s="33" t="n">
        <v>2031</v>
      </c>
    </row>
    <row r="26">
      <c r="A26" t="inlineStr">
        <is>
          <t>EBIT</t>
        </is>
      </c>
      <c r="B26" s="34">
        <f>'Forecasting'!H18</f>
        <v/>
      </c>
      <c r="C26" s="34">
        <f>'Forecasting'!I18</f>
        <v/>
      </c>
      <c r="D26" s="34">
        <f>'Forecasting'!J18</f>
        <v/>
      </c>
      <c r="E26" s="34">
        <f>'Forecasting'!K18</f>
        <v/>
      </c>
      <c r="F26" s="34">
        <f>'Forecasting'!L18</f>
        <v/>
      </c>
    </row>
    <row r="27">
      <c r="A27" t="inlineStr">
        <is>
          <t>Less: Tax</t>
        </is>
      </c>
      <c r="B27" s="34">
        <f>-B26*B10</f>
        <v/>
      </c>
      <c r="C27" s="34">
        <f>-C26*B10</f>
        <v/>
      </c>
      <c r="D27" s="34">
        <f>-D26*B10</f>
        <v/>
      </c>
      <c r="E27" s="34">
        <f>-E26*B10</f>
        <v/>
      </c>
      <c r="F27" s="34">
        <f>-F26*B10</f>
        <v/>
      </c>
    </row>
    <row r="28">
      <c r="A28" s="28" t="inlineStr">
        <is>
          <t>NOPAT</t>
        </is>
      </c>
      <c r="B28" s="31">
        <f>B26+B27</f>
        <v/>
      </c>
      <c r="C28" s="31">
        <f>C26+C27</f>
        <v/>
      </c>
      <c r="D28" s="31">
        <f>D26+D27</f>
        <v/>
      </c>
      <c r="E28" s="31">
        <f>E26+E27</f>
        <v/>
      </c>
      <c r="F28" s="31">
        <f>F26+F27</f>
        <v/>
      </c>
    </row>
    <row r="29">
      <c r="A29" t="inlineStr">
        <is>
          <t>Add: D&amp;A</t>
        </is>
      </c>
      <c r="B29" s="34">
        <f>'Forecasting'!H80</f>
        <v/>
      </c>
      <c r="C29" s="34">
        <f>'Forecasting'!I80</f>
        <v/>
      </c>
      <c r="D29" s="34">
        <f>'Forecasting'!J80</f>
        <v/>
      </c>
      <c r="E29" s="34">
        <f>'Forecasting'!K80</f>
        <v/>
      </c>
      <c r="F29" s="34">
        <f>'Forecasting'!L80</f>
        <v/>
      </c>
    </row>
    <row r="30">
      <c r="A30" t="inlineStr">
        <is>
          <t>Less: Capex</t>
        </is>
      </c>
      <c r="B30" s="34">
        <f>'Forecasting'!H100</f>
        <v/>
      </c>
      <c r="C30" s="34">
        <f>'Forecasting'!I100</f>
        <v/>
      </c>
      <c r="D30" s="34">
        <f>'Forecasting'!J100</f>
        <v/>
      </c>
      <c r="E30" s="34">
        <f>'Forecasting'!K100</f>
        <v/>
      </c>
      <c r="F30" s="34">
        <f>'Forecasting'!L100</f>
        <v/>
      </c>
    </row>
    <row r="31">
      <c r="A31" t="inlineStr">
        <is>
          <t>Less: Δ NWC</t>
        </is>
      </c>
      <c r="B31" s="34">
        <f>'Forecasting'!H84</f>
        <v/>
      </c>
      <c r="C31" s="34">
        <f>'Forecasting'!I84</f>
        <v/>
      </c>
      <c r="D31" s="34">
        <f>'Forecasting'!J84</f>
        <v/>
      </c>
      <c r="E31" s="34">
        <f>'Forecasting'!K84</f>
        <v/>
      </c>
      <c r="F31" s="34">
        <f>'Forecasting'!L84</f>
        <v/>
      </c>
    </row>
    <row r="32">
      <c r="A32" s="35" t="inlineStr">
        <is>
          <t>Unlevered Free Cash Flow</t>
        </is>
      </c>
      <c r="B32" s="36">
        <f>B28+B29+B30+B31</f>
        <v/>
      </c>
      <c r="C32" s="36">
        <f>C28+C29+C30+C31</f>
        <v/>
      </c>
      <c r="D32" s="36">
        <f>D28+D29+D30+D31</f>
        <v/>
      </c>
      <c r="E32" s="36">
        <f>E28+E29+E30+E31</f>
        <v/>
      </c>
      <c r="F32" s="36">
        <f>F28+F29+F30+F31</f>
        <v/>
      </c>
    </row>
    <row r="34">
      <c r="A34" s="24" t="inlineStr">
        <is>
          <t>IV. TERMINAL VALUE &amp; DISCOUNTING</t>
        </is>
      </c>
    </row>
    <row r="35">
      <c r="A35" t="inlineStr">
        <is>
          <t>Terminal Value (Gordon Growth)</t>
        </is>
      </c>
      <c r="B35" s="37">
        <f>(F32*(1+B13))/(B22-B13)</f>
        <v/>
      </c>
      <c r="C35" s="27" t="inlineStr">
        <is>
          <t>FCF(2031)×(1+g)/(WACC-g)</t>
        </is>
      </c>
    </row>
    <row r="37">
      <c r="A37" s="33" t="inlineStr">
        <is>
          <t>Year</t>
        </is>
      </c>
      <c r="B37" s="33" t="inlineStr">
        <is>
          <t>FCF</t>
        </is>
      </c>
      <c r="C37" s="33" t="inlineStr">
        <is>
          <t>Discount Factor</t>
        </is>
      </c>
      <c r="D37" s="33" t="inlineStr">
        <is>
          <t>PV of FCF</t>
        </is>
      </c>
    </row>
    <row r="38">
      <c r="A38" t="n">
        <v>2027</v>
      </c>
      <c r="B38" s="34">
        <f>B32</f>
        <v/>
      </c>
      <c r="C38" s="38">
        <f>1/((1+B22)^1)</f>
        <v/>
      </c>
      <c r="D38" s="34">
        <f>B38*C38</f>
        <v/>
      </c>
    </row>
    <row r="39">
      <c r="A39" t="n">
        <v>2028</v>
      </c>
      <c r="B39" s="34">
        <f>C32</f>
        <v/>
      </c>
      <c r="C39" s="38">
        <f>1/((1+B22)^2)</f>
        <v/>
      </c>
      <c r="D39" s="34">
        <f>B39*C39</f>
        <v/>
      </c>
    </row>
    <row r="40">
      <c r="A40" t="n">
        <v>2029</v>
      </c>
      <c r="B40" s="34">
        <f>D32</f>
        <v/>
      </c>
      <c r="C40" s="38">
        <f>1/((1+B22)^3)</f>
        <v/>
      </c>
      <c r="D40" s="34">
        <f>B40*C40</f>
        <v/>
      </c>
    </row>
    <row r="41">
      <c r="A41" t="n">
        <v>2030</v>
      </c>
      <c r="B41" s="34">
        <f>E32</f>
        <v/>
      </c>
      <c r="C41" s="38">
        <f>1/((1+B22)^4)</f>
        <v/>
      </c>
      <c r="D41" s="34">
        <f>B41*C41</f>
        <v/>
      </c>
    </row>
    <row r="42">
      <c r="A42" t="n">
        <v>2031</v>
      </c>
      <c r="B42" s="34">
        <f>F32</f>
        <v/>
      </c>
      <c r="C42" s="38">
        <f>1/((1+B22)^5)</f>
        <v/>
      </c>
      <c r="D42" s="34">
        <f>B42*C42</f>
        <v/>
      </c>
    </row>
    <row r="43">
      <c r="A43" t="inlineStr">
        <is>
          <t>Terminal (2031)</t>
        </is>
      </c>
      <c r="B43" s="34">
        <f>B35</f>
        <v/>
      </c>
      <c r="C43" s="38">
        <f>1/((1+B22)^5)</f>
        <v/>
      </c>
      <c r="D43" s="31">
        <f>B43*C43</f>
        <v/>
      </c>
    </row>
    <row r="44">
      <c r="A44" s="39" t="inlineStr">
        <is>
          <t>Enterprise Value</t>
        </is>
      </c>
      <c r="D44" s="40">
        <f>D38+D39+D40+D41+D42+D43</f>
        <v/>
      </c>
    </row>
    <row r="46">
      <c r="A46" s="24" t="inlineStr">
        <is>
          <t>V. EQUITY VALUE &amp; INTRINSIC PRICE PER SHARE</t>
        </is>
      </c>
    </row>
    <row r="47">
      <c r="A47" t="inlineStr">
        <is>
          <t>Enterprise Value</t>
        </is>
      </c>
      <c r="B47" s="34">
        <f>D44</f>
        <v/>
      </c>
    </row>
    <row r="48">
      <c r="A48" t="inlineStr">
        <is>
          <t>Less: Net Debt (FY2026)</t>
        </is>
      </c>
      <c r="B48" s="34">
        <f>'Forecasting'!G60+'Forecasting'!G57-'Forecasting'!G33</f>
        <v/>
      </c>
      <c r="C48" s="27" t="inlineStr">
        <is>
          <t>LT Debt + ST Debt - Cash</t>
        </is>
      </c>
    </row>
    <row r="49">
      <c r="A49" s="28" t="inlineStr">
        <is>
          <t>Equity Value</t>
        </is>
      </c>
      <c r="B49" s="37">
        <f>B47-B48</f>
        <v/>
      </c>
    </row>
    <row r="50">
      <c r="A50" t="inlineStr">
        <is>
          <t>Shares Outstanding (M)</t>
        </is>
      </c>
      <c r="B50" s="41">
        <f>B16</f>
        <v/>
      </c>
    </row>
    <row r="51">
      <c r="A51" s="39" t="inlineStr">
        <is>
          <t>DCF Intrinsic Value per Share</t>
        </is>
      </c>
      <c r="B51" s="42">
        <f>B49/B16</f>
        <v/>
      </c>
    </row>
    <row r="53">
      <c r="A53" s="28" t="inlineStr">
        <is>
          <t>Current Market Price</t>
        </is>
      </c>
      <c r="B53" s="43">
        <f>B17</f>
        <v/>
      </c>
    </row>
    <row r="54">
      <c r="A54" s="28" t="inlineStr">
        <is>
          <t>Implied Upside/(Downside)</t>
        </is>
      </c>
      <c r="B54" s="44">
        <f>(B51-B17)/B17</f>
        <v/>
      </c>
    </row>
    <row r="57">
      <c r="A57" s="24" t="inlineStr">
        <is>
          <t>VI. SENSITIVITY ANALYSIS: DCF INTRINSIC VALUE</t>
        </is>
      </c>
    </row>
    <row r="58">
      <c r="A58" s="49" t="inlineStr">
        <is>
          <t>WACC →</t>
        </is>
      </c>
      <c r="C58" s="50" t="n">
        <v>0.075</v>
      </c>
      <c r="D58" s="50" t="n">
        <v>0.08</v>
      </c>
      <c r="E58" s="50" t="n">
        <v>0.08500000000000001</v>
      </c>
      <c r="F58" s="50" t="n">
        <v>0.09</v>
      </c>
      <c r="G58" s="50" t="n">
        <v>0.095</v>
      </c>
      <c r="H58" s="50" t="n">
        <v>0.1</v>
      </c>
      <c r="I58" s="50" t="n">
        <v>0.105</v>
      </c>
    </row>
    <row r="59">
      <c r="A59" s="51" t="inlineStr">
        <is>
          <t>Growth ↓</t>
        </is>
      </c>
    </row>
    <row r="60">
      <c r="A60" s="50" t="n">
        <v>0.015</v>
      </c>
      <c r="C60" s="52">
        <f>(((B32/(1+0.075)^1)+(C32/(1+0.075)^2)+(D32/(1+0.075)^3)+(E32/(1+0.075)^4)+(F32/(1+0.075)^5)+((=(F32*(1+A60))/(0.075-A60))/(1+0.075)^5))-B50)/B16</f>
        <v/>
      </c>
      <c r="D60" s="52">
        <f>(((B32/(1+0.08)^1)+(C32/(1+0.08)^2)+(D32/(1+0.08)^3)+(E32/(1+0.08)^4)+(F32/(1+0.08)^5)+((=(F32*(1+A60))/(0.08-A60))/(1+0.08)^5))-B50)/B16</f>
        <v/>
      </c>
      <c r="E60" s="52">
        <f>(((B32/(1+0.085)^1)+(C32/(1+0.085)^2)+(D32/(1+0.085)^3)+(E32/(1+0.085)^4)+(F32/(1+0.085)^5)+((=(F32*(1+A60))/(0.085-A60))/(1+0.085)^5))-B50)/B16</f>
        <v/>
      </c>
      <c r="F60" s="52">
        <f>(((B32/(1+0.09)^1)+(C32/(1+0.09)^2)+(D32/(1+0.09)^3)+(E32/(1+0.09)^4)+(F32/(1+0.09)^5)+((=(F32*(1+A60))/(0.09-A60))/(1+0.09)^5))-B50)/B16</f>
        <v/>
      </c>
      <c r="G60" s="52">
        <f>(((B32/(1+0.095)^1)+(C32/(1+0.095)^2)+(D32/(1+0.095)^3)+(E32/(1+0.095)^4)+(F32/(1+0.095)^5)+((=(F32*(1+A60))/(0.095-A60))/(1+0.095)^5))-B50)/B16</f>
        <v/>
      </c>
      <c r="H60" s="52">
        <f>(((B32/(1+0.1)^1)+(C32/(1+0.1)^2)+(D32/(1+0.1)^3)+(E32/(1+0.1)^4)+(F32/(1+0.1)^5)+((=(F32*(1+A60))/(0.1-A60))/(1+0.1)^5))-B50)/B16</f>
        <v/>
      </c>
      <c r="I60" s="52">
        <f>(((B32/(1+0.105)^1)+(C32/(1+0.105)^2)+(D32/(1+0.105)^3)+(E32/(1+0.105)^4)+(F32/(1+0.105)^5)+((=(F32*(1+A60))/(0.105-A60))/(1+0.105)^5))-B50)/B16</f>
        <v/>
      </c>
    </row>
    <row r="61">
      <c r="A61" s="50" t="n">
        <v>0.02</v>
      </c>
      <c r="C61" s="52">
        <f>(((B32/(1+0.075)^1)+(C32/(1+0.075)^2)+(D32/(1+0.075)^3)+(E32/(1+0.075)^4)+(F32/(1+0.075)^5)+((=(F32*(1+A61))/(0.075-A61))/(1+0.075)^5))-B50)/B16</f>
        <v/>
      </c>
      <c r="D61" s="52">
        <f>(((B32/(1+0.08)^1)+(C32/(1+0.08)^2)+(D32/(1+0.08)^3)+(E32/(1+0.08)^4)+(F32/(1+0.08)^5)+((=(F32*(1+A61))/(0.08-A61))/(1+0.08)^5))-B50)/B16</f>
        <v/>
      </c>
      <c r="E61" s="52">
        <f>(((B32/(1+0.085)^1)+(C32/(1+0.085)^2)+(D32/(1+0.085)^3)+(E32/(1+0.085)^4)+(F32/(1+0.085)^5)+((=(F32*(1+A61))/(0.085-A61))/(1+0.085)^5))-B50)/B16</f>
        <v/>
      </c>
      <c r="F61" s="52">
        <f>(((B32/(1+0.09)^1)+(C32/(1+0.09)^2)+(D32/(1+0.09)^3)+(E32/(1+0.09)^4)+(F32/(1+0.09)^5)+((=(F32*(1+A61))/(0.09-A61))/(1+0.09)^5))-B50)/B16</f>
        <v/>
      </c>
      <c r="G61" s="52">
        <f>(((B32/(1+0.095)^1)+(C32/(1+0.095)^2)+(D32/(1+0.095)^3)+(E32/(1+0.095)^4)+(F32/(1+0.095)^5)+((=(F32*(1+A61))/(0.095-A61))/(1+0.095)^5))-B50)/B16</f>
        <v/>
      </c>
      <c r="H61" s="52">
        <f>(((B32/(1+0.1)^1)+(C32/(1+0.1)^2)+(D32/(1+0.1)^3)+(E32/(1+0.1)^4)+(F32/(1+0.1)^5)+((=(F32*(1+A61))/(0.1-A61))/(1+0.1)^5))-B50)/B16</f>
        <v/>
      </c>
      <c r="I61" s="52">
        <f>(((B32/(1+0.105)^1)+(C32/(1+0.105)^2)+(D32/(1+0.105)^3)+(E32/(1+0.105)^4)+(F32/(1+0.105)^5)+((=(F32*(1+A61))/(0.105-A61))/(1+0.105)^5))-B50)/B16</f>
        <v/>
      </c>
    </row>
    <row r="62">
      <c r="A62" s="50" t="n">
        <v>0.025</v>
      </c>
      <c r="C62" s="52">
        <f>(((B32/(1+0.075)^1)+(C32/(1+0.075)^2)+(D32/(1+0.075)^3)+(E32/(1+0.075)^4)+(F32/(1+0.075)^5)+((=(F32*(1+A62))/(0.075-A62))/(1+0.075)^5))-B50)/B16</f>
        <v/>
      </c>
      <c r="D62" s="52">
        <f>(((B32/(1+0.08)^1)+(C32/(1+0.08)^2)+(D32/(1+0.08)^3)+(E32/(1+0.08)^4)+(F32/(1+0.08)^5)+((=(F32*(1+A62))/(0.08-A62))/(1+0.08)^5))-B50)/B16</f>
        <v/>
      </c>
      <c r="E62" s="52">
        <f>(((B32/(1+0.085)^1)+(C32/(1+0.085)^2)+(D32/(1+0.085)^3)+(E32/(1+0.085)^4)+(F32/(1+0.085)^5)+((=(F32*(1+A62))/(0.085-A62))/(1+0.085)^5))-B50)/B16</f>
        <v/>
      </c>
      <c r="F62" s="52">
        <f>(((B32/(1+0.09)^1)+(C32/(1+0.09)^2)+(D32/(1+0.09)^3)+(E32/(1+0.09)^4)+(F32/(1+0.09)^5)+((=(F32*(1+A62))/(0.09-A62))/(1+0.09)^5))-B50)/B16</f>
        <v/>
      </c>
      <c r="G62" s="52">
        <f>(((B32/(1+0.095)^1)+(C32/(1+0.095)^2)+(D32/(1+0.095)^3)+(E32/(1+0.095)^4)+(F32/(1+0.095)^5)+((=(F32*(1+A62))/(0.095-A62))/(1+0.095)^5))-B50)/B16</f>
        <v/>
      </c>
      <c r="H62" s="52">
        <f>(((B32/(1+0.1)^1)+(C32/(1+0.1)^2)+(D32/(1+0.1)^3)+(E32/(1+0.1)^4)+(F32/(1+0.1)^5)+((=(F32*(1+A62))/(0.1-A62))/(1+0.1)^5))-B50)/B16</f>
        <v/>
      </c>
      <c r="I62" s="52">
        <f>(((B32/(1+0.105)^1)+(C32/(1+0.105)^2)+(D32/(1+0.105)^3)+(E32/(1+0.105)^4)+(F32/(1+0.105)^5)+((=(F32*(1+A62))/(0.105-A62))/(1+0.105)^5))-B50)/B16</f>
        <v/>
      </c>
    </row>
    <row r="63">
      <c r="A63" s="50" t="n">
        <v>0.03</v>
      </c>
      <c r="C63" s="52">
        <f>(((B32/(1+0.075)^1)+(C32/(1+0.075)^2)+(D32/(1+0.075)^3)+(E32/(1+0.075)^4)+(F32/(1+0.075)^5)+((=(F32*(1+A63))/(0.075-A63))/(1+0.075)^5))-B50)/B16</f>
        <v/>
      </c>
      <c r="D63" s="52">
        <f>(((B32/(1+0.08)^1)+(C32/(1+0.08)^2)+(D32/(1+0.08)^3)+(E32/(1+0.08)^4)+(F32/(1+0.08)^5)+((=(F32*(1+A63))/(0.08-A63))/(1+0.08)^5))-B50)/B16</f>
        <v/>
      </c>
      <c r="E63" s="52">
        <f>(((B32/(1+0.085)^1)+(C32/(1+0.085)^2)+(D32/(1+0.085)^3)+(E32/(1+0.085)^4)+(F32/(1+0.085)^5)+((=(F32*(1+A63))/(0.085-A63))/(1+0.085)^5))-B50)/B16</f>
        <v/>
      </c>
      <c r="F63" s="52">
        <f>(((B32/(1+0.09)^1)+(C32/(1+0.09)^2)+(D32/(1+0.09)^3)+(E32/(1+0.09)^4)+(F32/(1+0.09)^5)+((=(F32*(1+A63))/(0.09-A63))/(1+0.09)^5))-B50)/B16</f>
        <v/>
      </c>
      <c r="G63" s="52">
        <f>(((B32/(1+0.095)^1)+(C32/(1+0.095)^2)+(D32/(1+0.095)^3)+(E32/(1+0.095)^4)+(F32/(1+0.095)^5)+((=(F32*(1+A63))/(0.095-A63))/(1+0.095)^5))-B50)/B16</f>
        <v/>
      </c>
      <c r="H63" s="52">
        <f>(((B32/(1+0.1)^1)+(C32/(1+0.1)^2)+(D32/(1+0.1)^3)+(E32/(1+0.1)^4)+(F32/(1+0.1)^5)+((=(F32*(1+A63))/(0.1-A63))/(1+0.1)^5))-B50)/B16</f>
        <v/>
      </c>
      <c r="I63" s="52">
        <f>(((B32/(1+0.105)^1)+(C32/(1+0.105)^2)+(D32/(1+0.105)^3)+(E32/(1+0.105)^4)+(F32/(1+0.105)^5)+((=(F32*(1+A63))/(0.105-A63))/(1+0.105)^5))-B50)/B16</f>
        <v/>
      </c>
    </row>
    <row r="64">
      <c r="A64" s="50" t="n">
        <v>0.035</v>
      </c>
      <c r="C64" s="52">
        <f>(((B32/(1+0.075)^1)+(C32/(1+0.075)^2)+(D32/(1+0.075)^3)+(E32/(1+0.075)^4)+(F32/(1+0.075)^5)+((=(F32*(1+A64))/(0.075-A64))/(1+0.075)^5))-B50)/B16</f>
        <v/>
      </c>
      <c r="D64" s="52">
        <f>(((B32/(1+0.08)^1)+(C32/(1+0.08)^2)+(D32/(1+0.08)^3)+(E32/(1+0.08)^4)+(F32/(1+0.08)^5)+((=(F32*(1+A64))/(0.08-A64))/(1+0.08)^5))-B50)/B16</f>
        <v/>
      </c>
      <c r="E64" s="52">
        <f>(((B32/(1+0.085)^1)+(C32/(1+0.085)^2)+(D32/(1+0.085)^3)+(E32/(1+0.085)^4)+(F32/(1+0.085)^5)+((=(F32*(1+A64))/(0.085-A64))/(1+0.085)^5))-B50)/B16</f>
        <v/>
      </c>
      <c r="F64" s="52">
        <f>(((B32/(1+0.09)^1)+(C32/(1+0.09)^2)+(D32/(1+0.09)^3)+(E32/(1+0.09)^4)+(F32/(1+0.09)^5)+((=(F32*(1+A64))/(0.09-A64))/(1+0.09)^5))-B50)/B16</f>
        <v/>
      </c>
      <c r="G64" s="52">
        <f>(((B32/(1+0.095)^1)+(C32/(1+0.095)^2)+(D32/(1+0.095)^3)+(E32/(1+0.095)^4)+(F32/(1+0.095)^5)+((=(F32*(1+A64))/(0.095-A64))/(1+0.095)^5))-B50)/B16</f>
        <v/>
      </c>
      <c r="H64" s="52">
        <f>(((B32/(1+0.1)^1)+(C32/(1+0.1)^2)+(D32/(1+0.1)^3)+(E32/(1+0.1)^4)+(F32/(1+0.1)^5)+((=(F32*(1+A64))/(0.1-A64))/(1+0.1)^5))-B50)/B16</f>
        <v/>
      </c>
      <c r="I64" s="52">
        <f>(((B32/(1+0.105)^1)+(C32/(1+0.105)^2)+(D32/(1+0.105)^3)+(E32/(1+0.105)^4)+(F32/(1+0.105)^5)+((=(F32*(1+A64))/(0.105-A64))/(1+0.105)^5))-B50)/B16</f>
        <v/>
      </c>
    </row>
    <row r="67">
      <c r="A67" s="24" t="inlineStr">
        <is>
          <t>VII. TRADING COMPARABLES ANALYSIS</t>
        </is>
      </c>
    </row>
    <row r="68">
      <c r="A68" s="33" t="inlineStr">
        <is>
          <t>Peer Company</t>
        </is>
      </c>
      <c r="B68" s="33" t="inlineStr">
        <is>
          <t>EV/Revenue</t>
        </is>
      </c>
      <c r="C68" s="33" t="inlineStr">
        <is>
          <t>EV/FCF</t>
        </is>
      </c>
    </row>
    <row r="69">
      <c r="A69" t="inlineStr">
        <is>
          <t>Adobe</t>
        </is>
      </c>
      <c r="B69" s="53" t="n">
        <v>12.5</v>
      </c>
      <c r="C69" s="53" t="n">
        <v>28</v>
      </c>
    </row>
    <row r="70">
      <c r="A70" t="inlineStr">
        <is>
          <t>ServiceNow</t>
        </is>
      </c>
      <c r="B70" s="53" t="n">
        <v>14.2</v>
      </c>
      <c r="C70" s="53" t="n">
        <v>32.5</v>
      </c>
    </row>
    <row r="71">
      <c r="A71" t="inlineStr">
        <is>
          <t>Workday</t>
        </is>
      </c>
      <c r="B71" s="53" t="n">
        <v>8.9</v>
      </c>
      <c r="C71" s="53" t="n">
        <v>25</v>
      </c>
    </row>
    <row r="72">
      <c r="A72" t="inlineStr">
        <is>
          <t>Oracle</t>
        </is>
      </c>
      <c r="B72" s="53" t="n">
        <v>7.5</v>
      </c>
      <c r="C72" s="53" t="n">
        <v>18.5</v>
      </c>
    </row>
    <row r="73">
      <c r="A73" s="28" t="inlineStr">
        <is>
          <t>Median</t>
        </is>
      </c>
      <c r="B73" s="54">
        <f>MEDIAN(B69:B72)</f>
        <v/>
      </c>
      <c r="C73" s="54">
        <f>MEDIAN(C69:C72)</f>
        <v/>
      </c>
    </row>
    <row r="75">
      <c r="A75" s="55" t="inlineStr">
        <is>
          <t>Salesforce FY2027 Metrics</t>
        </is>
      </c>
    </row>
    <row r="76">
      <c r="A76" t="inlineStr">
        <is>
          <t>Revenue (FY2027)</t>
        </is>
      </c>
      <c r="B76" s="34">
        <f>'Forecasting'!H4</f>
        <v/>
      </c>
    </row>
    <row r="77">
      <c r="A77" t="inlineStr">
        <is>
          <t>Unlevered FCF (FY2027)</t>
        </is>
      </c>
      <c r="B77" s="34">
        <f>B32</f>
        <v/>
      </c>
    </row>
    <row r="79">
      <c r="A79" s="55" t="inlineStr">
        <is>
          <t>Implied Valuation from Comps</t>
        </is>
      </c>
    </row>
    <row r="80">
      <c r="A80" t="inlineStr">
        <is>
          <t>EV from Revenue Multiple</t>
        </is>
      </c>
      <c r="B80" s="34">
        <f>B76*B73</f>
        <v/>
      </c>
    </row>
    <row r="81">
      <c r="A81" t="inlineStr">
        <is>
          <t>EV from FCF Multiple</t>
        </is>
      </c>
      <c r="B81" s="34">
        <f>B77*C73</f>
        <v/>
      </c>
    </row>
    <row r="83">
      <c r="A83" s="28" t="inlineStr">
        <is>
          <t>Price per Share (EV/Revenue)</t>
        </is>
      </c>
      <c r="B83" s="56">
        <f>(B80-B50)/B16</f>
        <v/>
      </c>
    </row>
    <row r="84">
      <c r="A84" s="28" t="inlineStr">
        <is>
          <t>Price per Share (EV/FCF)</t>
        </is>
      </c>
      <c r="B84" s="56">
        <f>(B81-B50)/B16</f>
        <v/>
      </c>
    </row>
    <row r="87">
      <c r="A87" s="24" t="inlineStr">
        <is>
          <t>VIII. VALUATION SUMMARY &amp; RECOMMENDATION</t>
        </is>
      </c>
    </row>
    <row r="88">
      <c r="A88" s="33" t="inlineStr">
        <is>
          <t>Valuation Method</t>
        </is>
      </c>
      <c r="B88" s="33" t="inlineStr">
        <is>
          <t>Price per Share</t>
        </is>
      </c>
      <c r="C88" s="33" t="inlineStr">
        <is>
          <t>vs. Current Price</t>
        </is>
      </c>
    </row>
    <row r="89">
      <c r="A89" t="inlineStr">
        <is>
          <t>DCF Intrinsic Value</t>
        </is>
      </c>
      <c r="B89" s="43">
        <f>B53</f>
        <v/>
      </c>
      <c r="C89" s="29">
        <f>(B89-B17)/B17</f>
        <v/>
      </c>
    </row>
    <row r="90">
      <c r="A90" t="inlineStr">
        <is>
          <t>Comps (EV/Revenue)</t>
        </is>
      </c>
      <c r="B90" s="43">
        <f>B83</f>
        <v/>
      </c>
      <c r="C90" s="29">
        <f>(B90-B17)/B17</f>
        <v/>
      </c>
    </row>
    <row r="91">
      <c r="A91" t="inlineStr">
        <is>
          <t>Comps (EV/FCF)</t>
        </is>
      </c>
      <c r="B91" s="43">
        <f>B84</f>
        <v/>
      </c>
      <c r="C91" s="29">
        <f>(B91-B17)/B17</f>
        <v/>
      </c>
    </row>
    <row r="92">
      <c r="A92" t="inlineStr">
        <is>
          <t>Average Comps</t>
        </is>
      </c>
      <c r="B92" s="43">
        <f>(B83+B84)/2</f>
        <v/>
      </c>
      <c r="C92" s="29">
        <f>(B92-B17)/B17</f>
        <v/>
      </c>
    </row>
    <row r="93">
      <c r="A93" s="39" t="inlineStr">
        <is>
          <t>BLENDED FAIR VALUE</t>
        </is>
      </c>
      <c r="B93" s="57">
        <f>(B53+B92)/2</f>
        <v/>
      </c>
      <c r="C93" s="44">
        <f>(B93-B17)/B17</f>
        <v/>
      </c>
    </row>
    <row r="95">
      <c r="A95" s="28" t="inlineStr">
        <is>
          <t>Current Market Price</t>
        </is>
      </c>
      <c r="B95" s="43">
        <f>B17</f>
        <v/>
      </c>
    </row>
    <row r="97">
      <c r="A97" s="39" t="inlineStr">
        <is>
          <t>RECOMMENDATION:</t>
        </is>
      </c>
      <c r="B97" s="58">
        <f>IF((B82-B17)/B17&gt;0.15,"UNDERVALUED - BUY",IF((B82-B17)/B17&lt;-0.15,"OVERVALUED - SELL","FAIRLY VALUED - HOLD"))</f>
        <v/>
      </c>
    </row>
  </sheetData>
  <mergeCells count="11">
    <mergeCell ref="A1:G1"/>
    <mergeCell ref="A67:G67"/>
    <mergeCell ref="A57:H57"/>
    <mergeCell ref="A34:G34"/>
    <mergeCell ref="A87:G87"/>
    <mergeCell ref="A4:G4"/>
    <mergeCell ref="A24:G24"/>
    <mergeCell ref="A2:G2"/>
    <mergeCell ref="B97:D97"/>
    <mergeCell ref="A19:G19"/>
    <mergeCell ref="A46:G46"/>
  </mergeCells>
  <conditionalFormatting sqref="B60:H64">
    <cfRule type="colorScale" priority="1">
      <colorScale>
        <cfvo type="num" val="150"/>
        <cfvo type="num" val="250"/>
        <cfvo type="num" val="35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2"/>
  <sheetViews>
    <sheetView topLeftCell="A15" workbookViewId="0">
      <selection activeCell="B33" sqref="B33"/>
    </sheetView>
  </sheetViews>
  <sheetFormatPr baseColWidth="10" defaultRowHeight="16"/>
  <cols>
    <col width="45.6640625" bestFit="1" customWidth="1" min="2" max="2"/>
  </cols>
  <sheetData>
    <row r="1">
      <c r="A1" t="inlineStr">
        <is>
          <t>Created by EDGAR Online, Inc.</t>
        </is>
      </c>
    </row>
    <row r="2"/>
    <row r="3">
      <c r="A3" t="inlineStr">
        <is>
          <t>SALESFORCE, INC.</t>
        </is>
      </c>
    </row>
    <row r="4">
      <c r="A4" t="inlineStr">
        <is>
          <t>INCOME_STATEMENT</t>
        </is>
      </c>
    </row>
    <row r="5">
      <c r="A5" t="inlineStr">
        <is>
          <t>Form Type: 10-K</t>
        </is>
      </c>
    </row>
    <row r="6">
      <c r="A6" t="inlineStr">
        <is>
          <t>Period End: Jan 31, 2026</t>
        </is>
      </c>
    </row>
    <row r="7">
      <c r="A7" t="inlineStr">
        <is>
          <t>Date Filed: Mar 02, 2026</t>
        </is>
      </c>
    </row>
    <row r="8">
      <c r="A8" t="inlineStr">
        <is>
          <t>Table Of Contents</t>
        </is>
      </c>
    </row>
    <row r="9"/>
    <row r="10">
      <c r="B10" t="inlineStr">
        <is>
          <t>Salesforce, Inc.</t>
        </is>
      </c>
    </row>
    <row r="11">
      <c r="B11" t="inlineStr">
        <is>
          <t>Consolidated Statements of Operations</t>
        </is>
      </c>
    </row>
    <row r="12">
      <c r="B12" t="inlineStr">
        <is>
          <t>(in millions, except per share data)</t>
        </is>
      </c>
    </row>
    <row r="13">
      <c r="B13" t="inlineStr">
        <is>
          <t>4</t>
        </is>
      </c>
      <c r="C13" t="inlineStr">
        <is>
          <t>Fiscal Year Ended January 31,</t>
        </is>
      </c>
    </row>
    <row r="14">
      <c r="C14" t="n">
        <v>2026</v>
      </c>
      <c r="D14" t="n">
        <v>2025</v>
      </c>
      <c r="E14" t="n">
        <v>2024</v>
      </c>
      <c r="F14" s="1" t="n">
        <v>2023</v>
      </c>
      <c r="G14" s="1" t="n">
        <v>2022</v>
      </c>
    </row>
    <row r="15">
      <c r="B15" t="inlineStr">
        <is>
          <t>Revenues:</t>
        </is>
      </c>
      <c r="F15" s="2" t="n"/>
      <c r="G15" s="2" t="n"/>
    </row>
    <row r="16">
      <c r="B16" t="inlineStr">
        <is>
          <t>Subscription and support</t>
        </is>
      </c>
      <c r="C16" t="n">
        <v>39388</v>
      </c>
      <c r="D16" t="n">
        <v>35679</v>
      </c>
      <c r="E16" t="n">
        <v>32537</v>
      </c>
      <c r="F16" s="45" t="n">
        <v>29021</v>
      </c>
      <c r="G16" s="45" t="n">
        <v>24657</v>
      </c>
    </row>
    <row r="17">
      <c r="B17" t="inlineStr">
        <is>
          <t>Professional services and other</t>
        </is>
      </c>
      <c r="C17" t="n">
        <v>2137</v>
      </c>
      <c r="D17" t="n">
        <v>2216</v>
      </c>
      <c r="E17" t="n">
        <v>2320</v>
      </c>
      <c r="F17" s="4" t="n">
        <v>2331</v>
      </c>
      <c r="G17" s="4" t="n">
        <v>1835</v>
      </c>
    </row>
    <row r="18">
      <c r="B18" t="inlineStr">
        <is>
          <t>Total revenues</t>
        </is>
      </c>
      <c r="C18" t="n">
        <v>41525</v>
      </c>
      <c r="D18" t="n">
        <v>37895</v>
      </c>
      <c r="E18" t="n">
        <v>34857</v>
      </c>
      <c r="F18" s="4" t="n">
        <v>31352</v>
      </c>
      <c r="G18" s="4" t="n">
        <v>26492</v>
      </c>
    </row>
    <row r="19">
      <c r="B19" t="inlineStr">
        <is>
          <t>Cost of revenues (1)(2):</t>
        </is>
      </c>
      <c r="F19" s="2" t="n"/>
      <c r="G19" s="2" t="n"/>
    </row>
    <row r="20">
      <c r="B20" t="inlineStr">
        <is>
          <t>Subscription and support</t>
        </is>
      </c>
      <c r="C20" t="n">
        <v>6796</v>
      </c>
      <c r="D20" t="n">
        <v>6198</v>
      </c>
      <c r="E20" t="n">
        <v>6177</v>
      </c>
      <c r="F20" s="4" t="n">
        <v>5821</v>
      </c>
      <c r="G20" s="4" t="n">
        <v>5059</v>
      </c>
    </row>
    <row r="21">
      <c r="B21" t="inlineStr">
        <is>
          <t>Professional services and other</t>
        </is>
      </c>
      <c r="C21" t="n">
        <v>2474</v>
      </c>
      <c r="D21" t="n">
        <v>2445</v>
      </c>
      <c r="E21" t="n">
        <v>2364</v>
      </c>
      <c r="F21" s="4" t="n">
        <v>2539</v>
      </c>
      <c r="G21" s="4" t="n">
        <v>1967</v>
      </c>
    </row>
    <row r="22">
      <c r="B22" t="inlineStr">
        <is>
          <t>Total cost of revenues</t>
        </is>
      </c>
      <c r="C22" t="n">
        <v>9270</v>
      </c>
      <c r="D22" t="n">
        <v>8643</v>
      </c>
      <c r="E22" t="n">
        <v>8541</v>
      </c>
      <c r="F22" s="4" t="n">
        <v>8360</v>
      </c>
      <c r="G22" s="4" t="n">
        <v>7026</v>
      </c>
    </row>
    <row r="23">
      <c r="B23" t="inlineStr">
        <is>
          <t>Gross profit</t>
        </is>
      </c>
      <c r="C23" t="n">
        <v>32255</v>
      </c>
      <c r="D23" t="n">
        <v>29252</v>
      </c>
      <c r="E23" t="n">
        <v>26316</v>
      </c>
      <c r="F23" s="4" t="n">
        <v>22992</v>
      </c>
      <c r="G23" s="4" t="n">
        <v>19466</v>
      </c>
    </row>
    <row r="24">
      <c r="B24" t="inlineStr">
        <is>
          <t>Operating expenses (1)(2):</t>
        </is>
      </c>
      <c r="F24" s="2" t="n"/>
      <c r="G24" s="2" t="n"/>
    </row>
    <row r="25">
      <c r="B25" t="inlineStr">
        <is>
          <t>Research and development</t>
        </is>
      </c>
      <c r="C25" t="n">
        <v>5993</v>
      </c>
      <c r="D25" t="n">
        <v>5493</v>
      </c>
      <c r="E25" t="n">
        <v>4906</v>
      </c>
      <c r="F25" s="4" t="n">
        <v>5055</v>
      </c>
      <c r="G25" s="4" t="n">
        <v>4465</v>
      </c>
    </row>
    <row r="26">
      <c r="B26" t="inlineStr">
        <is>
          <t>Sales and marketing</t>
        </is>
      </c>
      <c r="C26" t="n">
        <v>14345</v>
      </c>
      <c r="D26" t="n">
        <v>13257</v>
      </c>
      <c r="E26" t="n">
        <v>12877</v>
      </c>
      <c r="F26" s="4" t="n">
        <v>13526</v>
      </c>
      <c r="G26" s="4" t="n">
        <v>11855</v>
      </c>
    </row>
    <row r="27">
      <c r="B27" t="inlineStr">
        <is>
          <t>General and administrative</t>
        </is>
      </c>
      <c r="C27" t="n">
        <v>3000</v>
      </c>
      <c r="D27" t="n">
        <v>2836</v>
      </c>
      <c r="E27" t="n">
        <v>2534</v>
      </c>
      <c r="F27" s="4" t="n">
        <v>2553</v>
      </c>
      <c r="G27" s="4" t="n">
        <v>2598</v>
      </c>
    </row>
    <row r="28">
      <c r="B28" t="inlineStr">
        <is>
          <t>Restructuring</t>
        </is>
      </c>
      <c r="C28" t="n">
        <v>586</v>
      </c>
      <c r="D28" t="n">
        <v>461</v>
      </c>
      <c r="E28" t="n">
        <v>988</v>
      </c>
      <c r="F28" s="4" t="n">
        <v>828</v>
      </c>
      <c r="G28" s="4" t="n">
        <v>0</v>
      </c>
    </row>
    <row r="29">
      <c r="F29" s="2" t="n"/>
      <c r="G29" s="2" t="n"/>
    </row>
    <row r="30">
      <c r="B30" t="inlineStr">
        <is>
          <t>Total operating expenses</t>
        </is>
      </c>
      <c r="C30" t="n">
        <v>23924</v>
      </c>
      <c r="D30" t="n">
        <v>22047</v>
      </c>
      <c r="E30" t="n">
        <v>21305</v>
      </c>
      <c r="F30" s="4" t="n">
        <v>21962</v>
      </c>
      <c r="G30" s="4" t="n">
        <v>18918</v>
      </c>
    </row>
    <row r="31">
      <c r="B31" t="inlineStr">
        <is>
          <t>Income from operations</t>
        </is>
      </c>
      <c r="C31" t="n">
        <v>8331</v>
      </c>
      <c r="D31" t="n">
        <v>7205</v>
      </c>
      <c r="E31" t="n">
        <v>5011</v>
      </c>
      <c r="F31" s="4" t="n">
        <v>1030</v>
      </c>
      <c r="G31" s="4" t="n">
        <v>548</v>
      </c>
    </row>
    <row r="32">
      <c r="F32" s="2" t="n"/>
      <c r="G32" s="2" t="n"/>
    </row>
    <row r="33">
      <c r="B33" t="inlineStr">
        <is>
          <t>Gains (losses) on strategic investments, net</t>
        </is>
      </c>
      <c r="C33" t="n">
        <v>1017</v>
      </c>
      <c r="D33" t="n">
        <v>-121</v>
      </c>
      <c r="E33" t="n">
        <v>-277</v>
      </c>
      <c r="F33" s="4" t="n">
        <v>-239</v>
      </c>
      <c r="G33" s="4" t="n">
        <v>1211</v>
      </c>
    </row>
    <row r="34">
      <c r="B34" t="inlineStr">
        <is>
          <t>Other income</t>
        </is>
      </c>
      <c r="C34" t="n">
        <v>172</v>
      </c>
      <c r="D34" t="n">
        <v>354</v>
      </c>
      <c r="E34" t="n">
        <v>216</v>
      </c>
      <c r="F34" s="4" t="n">
        <v>-131</v>
      </c>
      <c r="G34" s="4" t="n">
        <v>-227</v>
      </c>
    </row>
    <row r="35">
      <c r="B35" t="inlineStr">
        <is>
          <t>Income before provision for income taxes</t>
        </is>
      </c>
      <c r="C35" t="n">
        <v>9520</v>
      </c>
      <c r="D35" t="n">
        <v>7438</v>
      </c>
      <c r="E35" t="n">
        <v>4950</v>
      </c>
      <c r="F35" s="4" t="n">
        <v>660</v>
      </c>
      <c r="G35" s="4" t="n">
        <v>1532</v>
      </c>
    </row>
    <row r="36">
      <c r="B36" t="inlineStr">
        <is>
          <t>Provision for income taxes</t>
        </is>
      </c>
      <c r="C36" t="n">
        <v>-2063</v>
      </c>
      <c r="D36" t="n">
        <v>-1241</v>
      </c>
      <c r="E36" t="n">
        <v>-814</v>
      </c>
      <c r="F36" s="4" t="n">
        <v>-452</v>
      </c>
      <c r="G36" s="4" t="n">
        <v>-88</v>
      </c>
    </row>
    <row r="37">
      <c r="B37" t="inlineStr">
        <is>
          <t>Net income</t>
        </is>
      </c>
      <c r="C37" s="11" t="n">
        <v>7457</v>
      </c>
      <c r="D37" s="11" t="n">
        <v>6197</v>
      </c>
      <c r="E37" s="11" t="n">
        <v>4136</v>
      </c>
      <c r="F37" s="46" t="n">
        <v>208</v>
      </c>
      <c r="G37" s="46" t="n">
        <v>1444</v>
      </c>
    </row>
    <row r="38">
      <c r="F38" s="2" t="n"/>
      <c r="G38" s="2" t="n"/>
    </row>
    <row r="39">
      <c r="B39" t="inlineStr">
        <is>
          <t>Basic net income per share</t>
        </is>
      </c>
      <c r="C39" t="n">
        <v>7.85</v>
      </c>
      <c r="D39" t="n">
        <v>6.44</v>
      </c>
      <c r="E39" t="n">
        <v>4.25</v>
      </c>
      <c r="F39" s="47" t="n">
        <v>0.21</v>
      </c>
      <c r="G39" s="47" t="n">
        <v>1.51</v>
      </c>
    </row>
    <row r="40">
      <c r="B40" t="inlineStr">
        <is>
          <t>Diluted net income per share</t>
        </is>
      </c>
      <c r="C40" t="n">
        <v>7.8</v>
      </c>
      <c r="D40" t="n">
        <v>6.36</v>
      </c>
      <c r="E40" t="n">
        <v>4.2</v>
      </c>
      <c r="F40" s="47" t="n">
        <v>0.21</v>
      </c>
      <c r="G40" s="47" t="n">
        <v>1.48</v>
      </c>
    </row>
    <row r="41">
      <c r="B41" t="inlineStr">
        <is>
          <t>Shares used in computing basic net income per share</t>
        </is>
      </c>
      <c r="C41" t="n">
        <v>950</v>
      </c>
      <c r="D41" t="n">
        <v>962</v>
      </c>
      <c r="E41" t="n">
        <v>974</v>
      </c>
      <c r="F41" s="4" t="n">
        <v>992</v>
      </c>
      <c r="G41" s="4" t="n">
        <v>955</v>
      </c>
    </row>
    <row r="42">
      <c r="B42" t="inlineStr">
        <is>
          <t>Shares used in computing diluted net income per share</t>
        </is>
      </c>
      <c r="C42" t="n">
        <v>956</v>
      </c>
      <c r="D42" t="n">
        <v>974</v>
      </c>
      <c r="E42" t="n">
        <v>984</v>
      </c>
      <c r="F42" s="4" t="n">
        <v>997</v>
      </c>
      <c r="G42" s="4" t="n">
        <v>974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0"/>
  <sheetViews>
    <sheetView topLeftCell="A14" workbookViewId="0">
      <selection activeCell="B25" sqref="B25:B26"/>
    </sheetView>
  </sheetViews>
  <sheetFormatPr baseColWidth="10" defaultRowHeight="16"/>
  <cols>
    <col width="57.1640625" bestFit="1" customWidth="1" min="2" max="2"/>
    <col width="14.1640625" bestFit="1" customWidth="1" min="3" max="4"/>
    <col width="14.83203125" bestFit="1" customWidth="1" min="5" max="6"/>
  </cols>
  <sheetData>
    <row r="1">
      <c r="A1" t="inlineStr">
        <is>
          <t>Created by EDGAR Online, Inc.</t>
        </is>
      </c>
    </row>
    <row r="2"/>
    <row r="3">
      <c r="A3" t="inlineStr">
        <is>
          <t>SALESFORCE, INC.</t>
        </is>
      </c>
    </row>
    <row r="4">
      <c r="A4" t="inlineStr">
        <is>
          <t>BALANCE_SHEET</t>
        </is>
      </c>
    </row>
    <row r="5">
      <c r="A5" t="inlineStr">
        <is>
          <t>Form Type: 10-K</t>
        </is>
      </c>
    </row>
    <row r="6">
      <c r="A6" t="inlineStr">
        <is>
          <t>Period End: Jan 31, 2026</t>
        </is>
      </c>
    </row>
    <row r="7">
      <c r="A7" t="inlineStr">
        <is>
          <t>Date Filed: Mar 02, 2026</t>
        </is>
      </c>
    </row>
    <row r="8">
      <c r="A8" t="inlineStr">
        <is>
          <t>Table Of Contents</t>
        </is>
      </c>
    </row>
    <row r="9"/>
    <row r="10">
      <c r="B10" t="inlineStr">
        <is>
          <t>Salesforce, Inc.</t>
        </is>
      </c>
    </row>
    <row r="11">
      <c r="B11" t="inlineStr">
        <is>
          <t>Consolidated Balance Sheets</t>
        </is>
      </c>
    </row>
    <row r="12">
      <c r="B12" t="inlineStr">
        <is>
          <t>(in millions)</t>
        </is>
      </c>
    </row>
    <row r="13"/>
    <row r="14">
      <c r="C14" t="inlineStr">
        <is>
          <t>January 31,2026</t>
        </is>
      </c>
      <c r="D14" t="inlineStr">
        <is>
          <t>January 31,2025</t>
        </is>
      </c>
      <c r="E14" s="1" t="inlineStr">
        <is>
          <t>January 31, 2024</t>
        </is>
      </c>
      <c r="F14" s="1" t="inlineStr">
        <is>
          <t>January 31, 2023</t>
        </is>
      </c>
      <c r="G14" s="1" t="inlineStr">
        <is>
          <t>January 31, 2022</t>
        </is>
      </c>
    </row>
    <row r="15">
      <c r="E15" s="2" t="n"/>
      <c r="F15" s="2" t="n"/>
      <c r="G15" s="2" t="n"/>
    </row>
    <row r="16">
      <c r="B16" t="inlineStr">
        <is>
          <t>Assets</t>
        </is>
      </c>
      <c r="E16" s="2" t="n"/>
      <c r="F16" s="2" t="n"/>
      <c r="G16" s="2" t="n"/>
    </row>
    <row r="17">
      <c r="B17" t="inlineStr">
        <is>
          <t>Current assets:</t>
        </is>
      </c>
      <c r="E17" s="2" t="n"/>
      <c r="F17" s="2" t="n"/>
      <c r="G17" s="2" t="n"/>
    </row>
    <row r="18">
      <c r="B18" t="inlineStr">
        <is>
          <t>Cash and cash equivalents</t>
        </is>
      </c>
      <c r="C18" t="n">
        <v>7327</v>
      </c>
      <c r="D18" t="n">
        <v>8848</v>
      </c>
      <c r="E18" s="45" t="n">
        <v>8472</v>
      </c>
      <c r="F18" s="45" t="n">
        <v>7016</v>
      </c>
      <c r="G18" s="45" t="n">
        <v>5464</v>
      </c>
    </row>
    <row r="19">
      <c r="B19" t="inlineStr">
        <is>
          <t>Marketable securities</t>
        </is>
      </c>
      <c r="C19" t="n">
        <v>2238</v>
      </c>
      <c r="D19" t="n">
        <v>5184</v>
      </c>
      <c r="E19" s="4" t="n">
        <v>5722</v>
      </c>
      <c r="F19" s="4" t="n">
        <v>5492</v>
      </c>
      <c r="G19" s="4" t="n">
        <v>5073</v>
      </c>
    </row>
    <row r="20">
      <c r="B20" t="inlineStr">
        <is>
          <t>Accounts receivable, net</t>
        </is>
      </c>
      <c r="C20" t="n">
        <v>14339</v>
      </c>
      <c r="D20" t="n">
        <v>11945</v>
      </c>
      <c r="E20" s="4" t="n">
        <v>11414</v>
      </c>
      <c r="F20" s="4" t="n">
        <v>10755</v>
      </c>
      <c r="G20" s="4" t="n">
        <v>9739</v>
      </c>
    </row>
    <row r="21">
      <c r="B21" t="inlineStr">
        <is>
          <t>Costs capitalized to obtain revenue contracts, net</t>
        </is>
      </c>
      <c r="C21" t="n">
        <v>2075</v>
      </c>
      <c r="D21" t="n">
        <v>1971</v>
      </c>
      <c r="E21" s="4" t="n">
        <v>1905</v>
      </c>
      <c r="F21" s="4" t="n">
        <v>1776</v>
      </c>
      <c r="G21" s="4" t="n">
        <v>1454</v>
      </c>
    </row>
    <row r="22">
      <c r="B22" t="inlineStr">
        <is>
          <t>Prepaid expenses and other current assets</t>
        </is>
      </c>
      <c r="C22" t="n">
        <v>2243</v>
      </c>
      <c r="D22" t="n">
        <v>1779</v>
      </c>
      <c r="E22" s="4" t="n">
        <v>1561</v>
      </c>
      <c r="F22" s="4" t="n">
        <v>1356</v>
      </c>
      <c r="G22" s="4" t="n">
        <v>1120</v>
      </c>
    </row>
    <row r="23">
      <c r="B23" t="inlineStr">
        <is>
          <t>Total current assets</t>
        </is>
      </c>
      <c r="C23" t="n">
        <v>28222</v>
      </c>
      <c r="D23" t="n">
        <v>29727</v>
      </c>
      <c r="E23" s="4" t="n">
        <v>29074</v>
      </c>
      <c r="F23" s="4" t="n">
        <v>26395</v>
      </c>
      <c r="G23" s="4" t="n">
        <v>22850</v>
      </c>
    </row>
    <row r="24">
      <c r="B24" t="inlineStr">
        <is>
          <t>Property and equipment, net</t>
        </is>
      </c>
      <c r="C24" t="n">
        <v>3120</v>
      </c>
      <c r="D24" t="n">
        <v>3236</v>
      </c>
      <c r="E24" s="4" t="n">
        <v>3689</v>
      </c>
      <c r="F24" s="4" t="n">
        <v>3702</v>
      </c>
      <c r="G24" s="4" t="n">
        <v>2815</v>
      </c>
    </row>
    <row r="25">
      <c r="B25" t="inlineStr">
        <is>
          <t>Operating lease right-of-use assets, net</t>
        </is>
      </c>
      <c r="C25" t="n">
        <v>2003</v>
      </c>
      <c r="D25" t="n">
        <v>2157</v>
      </c>
      <c r="E25" s="4" t="n">
        <v>2366</v>
      </c>
      <c r="F25" s="4" t="n">
        <v>2890</v>
      </c>
      <c r="G25" s="4" t="n">
        <v>2880</v>
      </c>
    </row>
    <row r="26">
      <c r="B26" t="inlineStr">
        <is>
          <t>Noncurrent costs capitalized to obtain revenue contracts, net</t>
        </is>
      </c>
      <c r="C26" t="n">
        <v>2985</v>
      </c>
      <c r="D26" t="n">
        <v>2475</v>
      </c>
      <c r="E26" s="4" t="n">
        <v>2515</v>
      </c>
      <c r="F26" s="4" t="n">
        <v>2697</v>
      </c>
      <c r="G26" s="4" t="n">
        <v>2342</v>
      </c>
    </row>
    <row r="27">
      <c r="E27" s="2" t="n"/>
      <c r="F27" s="2" t="n"/>
      <c r="G27" s="2" t="n"/>
    </row>
    <row r="28">
      <c r="B28" t="inlineStr">
        <is>
          <t>Strategic investments</t>
        </is>
      </c>
      <c r="C28" t="n">
        <v>7591</v>
      </c>
      <c r="D28" t="n">
        <v>4852</v>
      </c>
      <c r="E28" s="4" t="n">
        <v>4848</v>
      </c>
      <c r="F28" s="4" t="n">
        <v>4672</v>
      </c>
      <c r="G28" s="4" t="n">
        <v>4784</v>
      </c>
    </row>
    <row r="29">
      <c r="B29" t="inlineStr">
        <is>
          <t>Goodwill</t>
        </is>
      </c>
      <c r="C29" t="n">
        <v>57941</v>
      </c>
      <c r="D29" t="n">
        <v>51283</v>
      </c>
      <c r="E29" s="4" t="n">
        <v>48620</v>
      </c>
      <c r="F29" s="4" t="n">
        <v>48568</v>
      </c>
      <c r="G29" s="4" t="n">
        <v>47937</v>
      </c>
    </row>
    <row r="30">
      <c r="B30" t="inlineStr">
        <is>
          <t>Intangible assets acquired through business combinations, net</t>
        </is>
      </c>
      <c r="C30" t="n">
        <v>6815</v>
      </c>
      <c r="D30" t="n">
        <v>4428</v>
      </c>
      <c r="E30" s="4" t="n">
        <v>5278</v>
      </c>
      <c r="F30" s="4" t="n">
        <v>7125</v>
      </c>
      <c r="G30" s="4" t="n">
        <v>8978</v>
      </c>
    </row>
    <row r="31">
      <c r="B31" t="inlineStr">
        <is>
          <t>Deferred tax assets and other assets, net</t>
        </is>
      </c>
      <c r="C31" t="n">
        <v>3628</v>
      </c>
      <c r="D31" t="n">
        <v>4770</v>
      </c>
      <c r="E31" s="4" t="n">
        <v>3433</v>
      </c>
      <c r="F31" s="4" t="n">
        <v>2800</v>
      </c>
      <c r="G31" s="4" t="n">
        <v>2623</v>
      </c>
    </row>
    <row r="32">
      <c r="B32" t="inlineStr">
        <is>
          <t>Total assets</t>
        </is>
      </c>
      <c r="C32" t="n">
        <v>112305</v>
      </c>
      <c r="D32" t="n">
        <v>102928</v>
      </c>
      <c r="E32" s="45" t="n">
        <v>99823</v>
      </c>
      <c r="F32" s="45" t="n">
        <v>98849</v>
      </c>
      <c r="G32" s="45" t="n">
        <v>95209</v>
      </c>
    </row>
    <row r="33">
      <c r="B33" t="inlineStr">
        <is>
          <t>Liabilities and stockholders' equity</t>
        </is>
      </c>
      <c r="E33" s="2" t="n"/>
      <c r="F33" s="2" t="n"/>
      <c r="G33" s="2" t="n"/>
    </row>
    <row r="34">
      <c r="B34" t="inlineStr">
        <is>
          <t>Current liabilities:</t>
        </is>
      </c>
      <c r="E34" s="2" t="n"/>
      <c r="F34" s="2" t="n"/>
      <c r="G34" s="2" t="n"/>
    </row>
    <row r="35">
      <c r="B35" t="inlineStr">
        <is>
          <t>Accounts payable, accrued expenses and other liabilities</t>
        </is>
      </c>
      <c r="C35" t="n">
        <v>8253</v>
      </c>
      <c r="D35" t="n">
        <v>6658</v>
      </c>
      <c r="E35" s="45" t="n">
        <v>6111</v>
      </c>
      <c r="F35" s="45" t="n">
        <v>6743</v>
      </c>
      <c r="G35" s="45" t="n">
        <v>5470</v>
      </c>
    </row>
    <row r="36">
      <c r="B36" t="inlineStr">
        <is>
          <t>Operating lease liabilities, current</t>
        </is>
      </c>
      <c r="C36" t="n">
        <v>548</v>
      </c>
      <c r="D36" t="n">
        <v>579</v>
      </c>
      <c r="E36" s="4" t="n">
        <v>518</v>
      </c>
      <c r="F36" s="4" t="n">
        <v>590</v>
      </c>
      <c r="G36" s="4" t="n">
        <v>686</v>
      </c>
    </row>
    <row r="37">
      <c r="B37" t="inlineStr">
        <is>
          <t>Unearned revenue</t>
        </is>
      </c>
      <c r="C37" t="n">
        <v>24317</v>
      </c>
      <c r="D37" t="n">
        <v>20743</v>
      </c>
      <c r="E37" s="4" t="n">
        <v>19003</v>
      </c>
      <c r="F37" s="4" t="n">
        <v>17376</v>
      </c>
      <c r="G37" s="4" t="n">
        <v>15628</v>
      </c>
    </row>
    <row r="38">
      <c r="E38" s="2" t="n"/>
      <c r="F38" s="2" t="n"/>
      <c r="G38" s="2" t="n"/>
    </row>
    <row r="39">
      <c r="B39" t="inlineStr">
        <is>
          <t>Debt, current</t>
        </is>
      </c>
      <c r="C39" t="n">
        <v>4000</v>
      </c>
      <c r="D39" t="n">
        <v>0</v>
      </c>
      <c r="E39" s="4" t="n">
        <v>999</v>
      </c>
      <c r="F39" s="4" t="n">
        <v>1182</v>
      </c>
      <c r="G39" s="4" t="n">
        <v>4</v>
      </c>
    </row>
    <row r="40">
      <c r="B40" t="inlineStr">
        <is>
          <t>Total current liabilities</t>
        </is>
      </c>
      <c r="C40" t="n">
        <v>37118</v>
      </c>
      <c r="D40" t="n">
        <v>27980</v>
      </c>
      <c r="E40" s="4" t="n">
        <v>26631</v>
      </c>
      <c r="F40" s="4" t="n">
        <v>25891</v>
      </c>
      <c r="G40" s="4" t="n">
        <v>21788</v>
      </c>
    </row>
    <row r="41">
      <c r="B41" t="inlineStr">
        <is>
          <t>Noncurrent debt</t>
        </is>
      </c>
      <c r="C41" t="n">
        <v>10439</v>
      </c>
      <c r="D41" t="n">
        <v>8433</v>
      </c>
      <c r="E41" s="4" t="n">
        <v>8427</v>
      </c>
      <c r="F41" s="4" t="n">
        <v>9419</v>
      </c>
      <c r="G41" s="4" t="n">
        <v>10592</v>
      </c>
    </row>
    <row r="42">
      <c r="B42" t="inlineStr">
        <is>
          <t>Noncurrent operating lease liabilities</t>
        </is>
      </c>
      <c r="C42" t="n">
        <v>2189</v>
      </c>
      <c r="D42" t="n">
        <v>2380</v>
      </c>
      <c r="E42" s="4" t="n">
        <v>2644</v>
      </c>
      <c r="F42" s="4" t="n">
        <v>2897</v>
      </c>
      <c r="G42" s="4" t="n">
        <v>2703</v>
      </c>
    </row>
    <row r="43">
      <c r="B43" t="inlineStr">
        <is>
          <t>Other noncurrent liabilities</t>
        </is>
      </c>
      <c r="C43" t="n">
        <v>3417</v>
      </c>
      <c r="D43" t="n">
        <v>2962</v>
      </c>
      <c r="E43" s="4" t="n">
        <v>2475</v>
      </c>
      <c r="F43" s="4" t="n">
        <v>2283</v>
      </c>
      <c r="G43" s="4" t="n">
        <v>1995</v>
      </c>
    </row>
    <row r="44">
      <c r="B44" t="inlineStr">
        <is>
          <t>Total liabilities</t>
        </is>
      </c>
      <c r="C44" t="n">
        <v>53163</v>
      </c>
      <c r="D44" t="n">
        <v>41755</v>
      </c>
      <c r="E44" s="4" t="n">
        <v>40177</v>
      </c>
      <c r="F44" s="4" t="n">
        <v>40490</v>
      </c>
      <c r="G44" s="4" t="n">
        <v>37078</v>
      </c>
    </row>
    <row r="45">
      <c r="B45" t="inlineStr">
        <is>
          <t>Commitments and contingencies (See Notes 6 and 14)</t>
        </is>
      </c>
      <c r="E45" s="2" t="n"/>
      <c r="F45" s="2" t="n"/>
      <c r="G45" s="2" t="n"/>
    </row>
    <row r="46">
      <c r="B46" t="inlineStr">
        <is>
          <t>Stockholders' equity:</t>
        </is>
      </c>
      <c r="E46" s="2" t="n"/>
      <c r="F46" s="2" t="n"/>
      <c r="G46" s="2" t="n"/>
    </row>
    <row r="47">
      <c r="B47" t="inlineStr">
        <is>
          <t>Preferred stock, $0.001 par value; 5 shares authorized and none</t>
        </is>
      </c>
      <c r="E47" s="2" t="n"/>
      <c r="F47" s="2" t="n"/>
      <c r="G47" s="2" t="n"/>
    </row>
    <row r="48">
      <c r="B48" t="inlineStr">
        <is>
          <t>issued and outstanding</t>
        </is>
      </c>
      <c r="C48" t="n">
        <v>0</v>
      </c>
      <c r="D48" t="n">
        <v>0</v>
      </c>
      <c r="E48" s="4" t="n">
        <v>0</v>
      </c>
      <c r="F48" s="4" t="n">
        <v>0</v>
      </c>
      <c r="G48" s="4" t="n">
        <v>0</v>
      </c>
    </row>
    <row r="49">
      <c r="B49" t="inlineStr">
        <is>
          <t>Common stock, $0.001 par value; 1,600 shares authorized, 1,073 and</t>
        </is>
      </c>
      <c r="E49" s="2" t="n"/>
      <c r="F49" s="2" t="n"/>
      <c r="G49" s="2" t="n"/>
    </row>
    <row r="50">
      <c r="B50" t="inlineStr">
        <is>
          <t>1,056 shares issued as of January 31, 2026 and 2025, respectively,</t>
        </is>
      </c>
      <c r="E50" s="2" t="n"/>
      <c r="F50" s="2" t="n"/>
      <c r="G50" s="2" t="n"/>
    </row>
    <row r="51">
      <c r="B51" t="inlineStr">
        <is>
          <t>and 929 and 962 shares outstanding as of January 31, 2026 and 2025,</t>
        </is>
      </c>
      <c r="E51" s="2" t="n"/>
      <c r="F51" s="2" t="n"/>
    </row>
    <row r="52">
      <c r="B52" t="inlineStr">
        <is>
          <t>respectively</t>
        </is>
      </c>
      <c r="C52" t="n">
        <v>1</v>
      </c>
      <c r="D52" t="n">
        <v>1</v>
      </c>
      <c r="E52" s="4" t="n">
        <v>1</v>
      </c>
      <c r="F52" s="4" t="n">
        <v>1</v>
      </c>
      <c r="G52" s="4" t="n">
        <v>1</v>
      </c>
    </row>
    <row r="53">
      <c r="E53" s="2" t="n"/>
      <c r="F53" s="2" t="n"/>
      <c r="G53" s="2" t="n"/>
    </row>
    <row r="54">
      <c r="B54" t="inlineStr">
        <is>
          <t>Treasury stock, at cost</t>
        </is>
      </c>
      <c r="C54" t="n">
        <v>-32228</v>
      </c>
      <c r="D54" t="n">
        <v>-19507</v>
      </c>
      <c r="E54" s="4" t="n">
        <v>-11692</v>
      </c>
      <c r="F54" s="4" t="n">
        <v>-4000</v>
      </c>
      <c r="G54" s="4" t="n">
        <v>0</v>
      </c>
    </row>
    <row r="55">
      <c r="B55" t="inlineStr">
        <is>
          <t>Additional paid-in capital</t>
        </is>
      </c>
      <c r="C55" t="n">
        <v>68835</v>
      </c>
      <c r="D55" t="n">
        <v>64576</v>
      </c>
      <c r="E55" s="4" t="n">
        <v>59841</v>
      </c>
      <c r="F55" s="4" t="n">
        <v>55047</v>
      </c>
      <c r="G55" s="4" t="n">
        <v>50919</v>
      </c>
    </row>
    <row r="56">
      <c r="B56" t="inlineStr">
        <is>
          <t>Accumulated other comprehensive income (loss)</t>
        </is>
      </c>
      <c r="C56" t="n">
        <v>313</v>
      </c>
      <c r="D56" t="n">
        <v>-266</v>
      </c>
      <c r="E56" s="4" t="n">
        <v>-225</v>
      </c>
      <c r="F56" s="4" t="n">
        <v>-274</v>
      </c>
      <c r="G56" s="4" t="n">
        <v>-166</v>
      </c>
    </row>
    <row r="57">
      <c r="B57" t="inlineStr">
        <is>
          <t>Retained earnings</t>
        </is>
      </c>
      <c r="C57" t="n">
        <v>22221</v>
      </c>
      <c r="D57" t="n">
        <v>16369</v>
      </c>
      <c r="E57" s="4" t="n">
        <v>11721</v>
      </c>
      <c r="F57" s="4" t="n">
        <v>7585</v>
      </c>
      <c r="G57" s="4" t="n">
        <v>7377</v>
      </c>
    </row>
    <row r="58">
      <c r="B58" t="inlineStr">
        <is>
          <t>Total stockholders' equity</t>
        </is>
      </c>
      <c r="C58" t="n">
        <v>59142</v>
      </c>
      <c r="D58" t="n">
        <v>61173</v>
      </c>
      <c r="E58" s="4" t="n">
        <v>59646</v>
      </c>
      <c r="F58" s="4" t="n">
        <v>58359</v>
      </c>
      <c r="G58" s="4" t="n">
        <v>58131</v>
      </c>
    </row>
    <row r="59">
      <c r="B59" t="inlineStr">
        <is>
          <t>Total liabilities and stockholders' equity</t>
        </is>
      </c>
      <c r="C59" t="n">
        <v>112305</v>
      </c>
      <c r="D59" t="n">
        <v>102928</v>
      </c>
      <c r="E59" s="45" t="n">
        <v>99823</v>
      </c>
      <c r="F59" s="45" t="n">
        <v>98849</v>
      </c>
      <c r="G59" s="45" t="n">
        <v>95209</v>
      </c>
    </row>
    <row r="60">
      <c r="E60" s="2" t="n"/>
      <c r="F60" s="2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0"/>
  <sheetViews>
    <sheetView topLeftCell="A16" workbookViewId="0">
      <selection activeCell="G37" sqref="G37:G43"/>
    </sheetView>
  </sheetViews>
  <sheetFormatPr baseColWidth="10" defaultRowHeight="16"/>
  <cols>
    <col width="10.83203125" customWidth="1" min="1" max="1"/>
    <col width="50.5" bestFit="1" customWidth="1" min="2" max="2"/>
    <col width="13.1640625" customWidth="1" min="3" max="3"/>
    <col width="11.33203125" customWidth="1" min="4" max="4"/>
    <col width="10" customWidth="1" min="5" max="5"/>
  </cols>
  <sheetData>
    <row r="1">
      <c r="A1" t="inlineStr">
        <is>
          <t>Created by EDGAR Online, Inc.</t>
        </is>
      </c>
    </row>
    <row r="2"/>
    <row r="3">
      <c r="A3" t="inlineStr">
        <is>
          <t>SALESFORCE, INC.</t>
        </is>
      </c>
    </row>
    <row r="4">
      <c r="A4" t="inlineStr">
        <is>
          <t>CASH_FLOW</t>
        </is>
      </c>
    </row>
    <row r="5">
      <c r="A5" t="inlineStr">
        <is>
          <t>Form Type: 10-K</t>
        </is>
      </c>
    </row>
    <row r="6">
      <c r="A6" t="inlineStr">
        <is>
          <t>Period End: Jan 31, 2026</t>
        </is>
      </c>
    </row>
    <row r="7">
      <c r="A7" t="inlineStr">
        <is>
          <t>Date Filed: Mar 02, 2026</t>
        </is>
      </c>
    </row>
    <row r="8">
      <c r="A8" t="inlineStr">
        <is>
          <t>Table Of Contents</t>
        </is>
      </c>
    </row>
    <row r="9"/>
    <row r="10">
      <c r="B10" t="inlineStr">
        <is>
          <t>Salesforce, Inc.</t>
        </is>
      </c>
    </row>
    <row r="11">
      <c r="B11" t="inlineStr">
        <is>
          <t>Consolidated Statements of Cash Flows</t>
        </is>
      </c>
    </row>
    <row r="12">
      <c r="B12" t="inlineStr">
        <is>
          <t>(in millions)</t>
        </is>
      </c>
      <c r="C12" t="inlineStr">
        <is>
          <t xml:space="preserve">Fiscal Year Ended </t>
        </is>
      </c>
    </row>
    <row r="13">
      <c r="B13" t="inlineStr">
        <is>
          <t>4</t>
        </is>
      </c>
      <c r="C13" t="inlineStr">
        <is>
          <t>January 31,</t>
        </is>
      </c>
    </row>
    <row r="14">
      <c r="C14" t="n">
        <v>2026</v>
      </c>
      <c r="D14" t="n">
        <v>2025</v>
      </c>
      <c r="E14" t="n">
        <v>2024</v>
      </c>
      <c r="F14" s="1" t="n">
        <v>2023</v>
      </c>
      <c r="G14" s="1" t="n">
        <v>2022</v>
      </c>
    </row>
    <row r="15">
      <c r="B15" t="inlineStr">
        <is>
          <t>Operating activities:</t>
        </is>
      </c>
      <c r="F15" s="2" t="n"/>
      <c r="G15" s="2" t="n"/>
    </row>
    <row r="16">
      <c r="B16" t="inlineStr">
        <is>
          <t>Net income</t>
        </is>
      </c>
      <c r="C16" t="n">
        <v>7457</v>
      </c>
      <c r="D16" t="n">
        <v>6197</v>
      </c>
      <c r="E16" t="n">
        <v>4136</v>
      </c>
      <c r="F16" s="45" t="n">
        <v>208</v>
      </c>
      <c r="G16" s="45" t="n">
        <v>1444</v>
      </c>
    </row>
    <row r="17">
      <c r="B17" t="inlineStr">
        <is>
          <t>Adjustments to reconcile net income to net cash provided by</t>
        </is>
      </c>
      <c r="F17" s="2" t="n"/>
      <c r="G17" s="2" t="n"/>
    </row>
    <row r="18">
      <c r="B18" t="inlineStr">
        <is>
          <t>operating activities:</t>
        </is>
      </c>
      <c r="F18" s="2" t="n"/>
      <c r="G18" s="2" t="n"/>
    </row>
    <row r="19">
      <c r="B19" t="inlineStr">
        <is>
          <t>Depreciation and amortization (1)</t>
        </is>
      </c>
      <c r="C19" t="n">
        <v>3631</v>
      </c>
      <c r="D19" t="n">
        <v>3477</v>
      </c>
      <c r="E19" t="n">
        <v>3959</v>
      </c>
      <c r="F19" s="4" t="n">
        <v>3786</v>
      </c>
      <c r="G19" s="4" t="n">
        <v>3298</v>
      </c>
    </row>
    <row r="20">
      <c r="B20" t="inlineStr">
        <is>
          <t>Amortization of costs capitalized to obtain revenue</t>
        </is>
      </c>
      <c r="F20" s="2" t="n"/>
      <c r="G20" s="2" t="n"/>
    </row>
    <row r="21">
      <c r="B21" t="inlineStr">
        <is>
          <t>contracts, net</t>
        </is>
      </c>
      <c r="C21" t="n">
        <v>2197</v>
      </c>
      <c r="D21" t="n">
        <v>2095</v>
      </c>
      <c r="E21" t="n">
        <v>1925</v>
      </c>
      <c r="F21" s="4" t="n">
        <v>1668</v>
      </c>
      <c r="G21" s="4" t="n">
        <v>1348</v>
      </c>
    </row>
    <row r="22">
      <c r="B22" t="inlineStr">
        <is>
          <t>Stock-based compensation expense</t>
        </is>
      </c>
      <c r="C22" t="n">
        <v>3509</v>
      </c>
      <c r="D22" t="n">
        <v>3183</v>
      </c>
      <c r="E22" t="n">
        <v>2787</v>
      </c>
      <c r="F22" s="4" t="n">
        <v>3279</v>
      </c>
      <c r="G22" s="4" t="n">
        <v>2779</v>
      </c>
    </row>
    <row r="23">
      <c r="F23" s="2" t="n"/>
      <c r="G23" s="2" t="n"/>
    </row>
    <row r="24">
      <c r="B24" t="inlineStr">
        <is>
          <t>(Gains) losses on strategic investments, net</t>
        </is>
      </c>
      <c r="C24" t="n">
        <v>-1017</v>
      </c>
      <c r="D24" t="n">
        <v>121</v>
      </c>
      <c r="E24" t="n">
        <v>277</v>
      </c>
      <c r="F24" s="4" t="n">
        <v>239</v>
      </c>
      <c r="G24" s="4" t="n">
        <v>-1211</v>
      </c>
    </row>
    <row r="25">
      <c r="F25" s="2" t="n"/>
      <c r="G25" s="2" t="n"/>
    </row>
    <row r="26">
      <c r="B26" t="inlineStr">
        <is>
          <t>Changes in assets and liabilities, net of business</t>
        </is>
      </c>
      <c r="F26" s="2" t="n"/>
      <c r="G26" s="2" t="n"/>
    </row>
    <row r="27">
      <c r="B27" t="inlineStr">
        <is>
          <t>combinations:</t>
        </is>
      </c>
      <c r="F27" s="2" t="n"/>
      <c r="G27" s="2" t="n"/>
    </row>
    <row r="28">
      <c r="B28" t="inlineStr">
        <is>
          <t>Accounts receivable, net</t>
        </is>
      </c>
      <c r="C28" t="n">
        <v>-2160</v>
      </c>
      <c r="D28" t="n">
        <v>-490</v>
      </c>
      <c r="E28" t="n">
        <v>-659</v>
      </c>
      <c r="F28" s="4" t="n">
        <v>-995</v>
      </c>
      <c r="G28" s="4" t="n">
        <v>-1824</v>
      </c>
    </row>
    <row r="29">
      <c r="B29" t="inlineStr">
        <is>
          <t>Costs capitalized to obtain revenue contracts, net</t>
        </is>
      </c>
      <c r="C29" t="n">
        <v>-2811</v>
      </c>
      <c r="D29" t="n">
        <v>-2121</v>
      </c>
      <c r="E29" t="n">
        <v>-1872</v>
      </c>
      <c r="F29" s="4" t="n">
        <v>-2345</v>
      </c>
      <c r="G29" s="4" t="n">
        <v>-2283</v>
      </c>
    </row>
    <row r="30">
      <c r="B30" t="inlineStr">
        <is>
          <t>Prepaid expenses and other current assets and other assets</t>
        </is>
      </c>
      <c r="C30" t="n">
        <v>819</v>
      </c>
      <c r="D30" t="n">
        <v>-1495</v>
      </c>
      <c r="E30" t="n">
        <v>-843</v>
      </c>
      <c r="F30" s="4" t="n">
        <v>-302</v>
      </c>
      <c r="G30" s="4" t="n">
        <v>114</v>
      </c>
    </row>
    <row r="31">
      <c r="F31" s="2" t="n"/>
      <c r="G31" s="2" t="n"/>
    </row>
    <row r="32">
      <c r="B32" t="inlineStr">
        <is>
          <t>Accounts payable and accrued expenses and other liabilities</t>
        </is>
      </c>
      <c r="C32" t="n">
        <v>1014</v>
      </c>
      <c r="D32" t="n">
        <v>1089</v>
      </c>
      <c r="E32" t="n">
        <v>-478</v>
      </c>
      <c r="F32" s="4" t="n">
        <v>528</v>
      </c>
      <c r="G32" s="4" t="n">
        <v>507</v>
      </c>
    </row>
    <row r="33">
      <c r="B33" t="inlineStr">
        <is>
          <t>Operating lease liabilities</t>
        </is>
      </c>
      <c r="C33" t="n">
        <v>-567</v>
      </c>
      <c r="D33" t="n">
        <v>-548</v>
      </c>
      <c r="E33" t="n">
        <v>-621</v>
      </c>
      <c r="F33" s="4" t="n">
        <v>-699</v>
      </c>
      <c r="G33" s="4" t="n">
        <v>-801</v>
      </c>
    </row>
    <row r="34">
      <c r="B34" t="inlineStr">
        <is>
          <t>Unearned revenue</t>
        </is>
      </c>
      <c r="C34" t="n">
        <v>2924</v>
      </c>
      <c r="D34" t="n">
        <v>1584</v>
      </c>
      <c r="E34" t="n">
        <v>1623</v>
      </c>
      <c r="F34" s="4" t="n">
        <v>1744</v>
      </c>
      <c r="G34" s="4" t="n">
        <v>2629</v>
      </c>
    </row>
    <row r="35">
      <c r="B35" t="inlineStr">
        <is>
          <t>Net cash provided by operating activities</t>
        </is>
      </c>
      <c r="C35" s="11" t="n">
        <v>14996</v>
      </c>
      <c r="D35" s="11" t="n">
        <v>13092</v>
      </c>
      <c r="E35" s="11" t="n">
        <v>10234</v>
      </c>
      <c r="F35" s="18" t="n">
        <v>7111</v>
      </c>
      <c r="G35" s="18" t="n">
        <v>6000</v>
      </c>
    </row>
    <row r="36">
      <c r="B36" t="inlineStr">
        <is>
          <t>Investing activities:</t>
        </is>
      </c>
      <c r="F36" s="2" t="n"/>
      <c r="G36" s="2" t="n"/>
    </row>
    <row r="37">
      <c r="B37" t="inlineStr">
        <is>
          <t>Business combinations, net of cash acquired</t>
        </is>
      </c>
      <c r="C37" t="n">
        <v>-9268</v>
      </c>
      <c r="D37" t="n">
        <v>-2734</v>
      </c>
      <c r="E37" t="n">
        <v>-82</v>
      </c>
      <c r="F37" s="4" t="n">
        <v>-439</v>
      </c>
      <c r="G37" s="4" t="n">
        <v>-14876</v>
      </c>
    </row>
    <row r="38">
      <c r="B38" t="inlineStr">
        <is>
          <t>Purchases of strategic investments</t>
        </is>
      </c>
      <c r="C38" t="n">
        <v>-1958</v>
      </c>
      <c r="D38" t="n">
        <v>-539</v>
      </c>
      <c r="E38" t="n">
        <v>-496</v>
      </c>
      <c r="F38" s="4" t="n">
        <v>-550</v>
      </c>
      <c r="G38" s="4" t="n">
        <v>-1718</v>
      </c>
    </row>
    <row r="39">
      <c r="B39" t="inlineStr">
        <is>
          <t>Sales of strategic investments</t>
        </is>
      </c>
      <c r="C39" t="n">
        <v>184</v>
      </c>
      <c r="D39" t="n">
        <v>126</v>
      </c>
      <c r="E39" t="n">
        <v>108</v>
      </c>
      <c r="F39" s="4" t="n">
        <v>355</v>
      </c>
      <c r="G39" s="4" t="n">
        <v>2201</v>
      </c>
    </row>
    <row r="40">
      <c r="B40" t="inlineStr">
        <is>
          <t>Purchases of marketable securities</t>
        </is>
      </c>
      <c r="C40" t="n">
        <v>-3763</v>
      </c>
      <c r="D40" t="n">
        <v>-6879</v>
      </c>
      <c r="E40" t="n">
        <v>-3761</v>
      </c>
      <c r="F40" s="4" t="n">
        <v>-4777</v>
      </c>
      <c r="G40" s="4" t="n">
        <v>-5674</v>
      </c>
    </row>
    <row r="41">
      <c r="B41" t="inlineStr">
        <is>
          <t>Sales of marketable securities</t>
        </is>
      </c>
      <c r="C41" t="n">
        <v>4414</v>
      </c>
      <c r="D41" t="n">
        <v>4143</v>
      </c>
      <c r="E41" t="n">
        <v>1511</v>
      </c>
      <c r="F41" s="4" t="n">
        <v>1771</v>
      </c>
      <c r="G41" s="4" t="n">
        <v>4179</v>
      </c>
    </row>
    <row r="42">
      <c r="B42" t="inlineStr">
        <is>
          <t>Maturities of marketable securities</t>
        </is>
      </c>
      <c r="C42" t="n">
        <v>2395</v>
      </c>
      <c r="D42" t="n">
        <v>3378</v>
      </c>
      <c r="E42" t="n">
        <v>2129</v>
      </c>
      <c r="F42" s="4" t="n">
        <v>2449</v>
      </c>
      <c r="G42" s="4" t="n">
        <v>2069</v>
      </c>
    </row>
    <row r="43">
      <c r="B43" t="inlineStr">
        <is>
          <t>Capital expenditures</t>
        </is>
      </c>
      <c r="C43" t="n">
        <v>-594</v>
      </c>
      <c r="D43" t="n">
        <v>-658</v>
      </c>
      <c r="E43" t="n">
        <v>-736</v>
      </c>
      <c r="F43" s="4" t="n">
        <v>-798</v>
      </c>
      <c r="G43" s="4" t="n">
        <v>-717</v>
      </c>
    </row>
    <row r="44">
      <c r="B44" t="inlineStr">
        <is>
          <t>Net cash used in investing activities</t>
        </is>
      </c>
      <c r="C44" s="11" t="n">
        <v>-8590</v>
      </c>
      <c r="D44" s="11" t="n">
        <v>-3163</v>
      </c>
      <c r="E44" s="11" t="n">
        <v>-1327</v>
      </c>
      <c r="F44" s="18" t="n">
        <v>-1989</v>
      </c>
      <c r="G44" s="18" t="n">
        <v>-14536</v>
      </c>
    </row>
    <row r="45">
      <c r="B45" t="inlineStr">
        <is>
          <t>Financing activities:</t>
        </is>
      </c>
      <c r="F45" s="2" t="n"/>
      <c r="G45" s="2" t="n"/>
    </row>
    <row r="46">
      <c r="B46" t="inlineStr">
        <is>
          <t>Proceeds from issuance of debt, net of issuance costs</t>
        </is>
      </c>
      <c r="C46" t="n">
        <v>6000</v>
      </c>
      <c r="D46" t="n">
        <v>0</v>
      </c>
      <c r="E46" t="n">
        <v>0</v>
      </c>
      <c r="F46" s="4" t="n">
        <v>0</v>
      </c>
      <c r="G46" s="4" t="n">
        <v>7906</v>
      </c>
    </row>
    <row r="47">
      <c r="B47" t="inlineStr">
        <is>
          <t>Repayments of Slack Convertible Notes, net of capped call</t>
        </is>
      </c>
      <c r="F47" s="2" t="n"/>
      <c r="G47" s="2" t="n"/>
    </row>
    <row r="48">
      <c r="B48" s="1" t="inlineStr">
        <is>
          <t>proceeds</t>
        </is>
      </c>
      <c r="F48" s="4" t="n">
        <v>0</v>
      </c>
      <c r="G48" s="4" t="n">
        <v>-1197</v>
      </c>
    </row>
    <row r="49">
      <c r="B49" t="inlineStr">
        <is>
          <t>Repurchases of common stock</t>
        </is>
      </c>
      <c r="C49" t="n">
        <v>-12596</v>
      </c>
      <c r="D49" t="n">
        <v>-7829</v>
      </c>
      <c r="E49" t="n">
        <v>-7620</v>
      </c>
      <c r="F49" s="4" t="n">
        <v>-4000</v>
      </c>
      <c r="G49" s="4" t="n">
        <v>0</v>
      </c>
    </row>
    <row r="50">
      <c r="B50" t="inlineStr">
        <is>
          <t>Payments for taxes related to net share settlement of equity</t>
        </is>
      </c>
    </row>
    <row r="51">
      <c r="B51" t="inlineStr">
        <is>
          <t>awards</t>
        </is>
      </c>
      <c r="C51" t="n">
        <v>-351</v>
      </c>
      <c r="D51" t="n">
        <v>0</v>
      </c>
      <c r="E51" t="n">
        <v>0</v>
      </c>
    </row>
    <row r="52">
      <c r="B52" t="inlineStr">
        <is>
          <t>Proceeds from employee stock plans</t>
        </is>
      </c>
      <c r="C52" t="n">
        <v>1039</v>
      </c>
      <c r="D52" t="n">
        <v>1540</v>
      </c>
      <c r="E52" t="n">
        <v>1954</v>
      </c>
      <c r="F52" s="4" t="n">
        <v>861</v>
      </c>
      <c r="G52" s="4" t="n">
        <v>1289</v>
      </c>
    </row>
    <row r="53">
      <c r="B53" t="inlineStr">
        <is>
          <t>Principal payments on financing obligations</t>
        </is>
      </c>
      <c r="C53" t="n">
        <v>-584</v>
      </c>
      <c r="D53" t="n">
        <v>-603</v>
      </c>
      <c r="E53" t="n">
        <v>-629</v>
      </c>
      <c r="F53" s="4" t="n">
        <v>-419</v>
      </c>
      <c r="G53" s="4" t="n">
        <v>-156</v>
      </c>
    </row>
    <row r="54">
      <c r="B54" t="inlineStr">
        <is>
          <t>Repayments of debt</t>
        </is>
      </c>
      <c r="C54" t="n">
        <v>0</v>
      </c>
      <c r="D54" t="n">
        <v>-1000</v>
      </c>
      <c r="E54" t="n">
        <v>-1182</v>
      </c>
      <c r="F54" s="4" t="n">
        <v>-4</v>
      </c>
      <c r="G54" s="4" t="n">
        <v>-4</v>
      </c>
    </row>
    <row r="55">
      <c r="B55" t="inlineStr">
        <is>
          <t>Payments of dividends and dividend equivalents</t>
        </is>
      </c>
      <c r="C55" t="n">
        <v>-1587</v>
      </c>
      <c r="D55" t="n">
        <v>-1537</v>
      </c>
      <c r="E55" t="n">
        <v>0</v>
      </c>
    </row>
    <row r="56">
      <c r="B56" t="inlineStr">
        <is>
          <t>Net cash used in financing activities</t>
        </is>
      </c>
      <c r="C56" s="11" t="n">
        <v>-8079</v>
      </c>
      <c r="D56" s="11" t="n">
        <v>-9429</v>
      </c>
      <c r="E56" s="11" t="n">
        <v>-7477</v>
      </c>
      <c r="F56" s="18" t="n">
        <v>-3562</v>
      </c>
      <c r="G56" s="18" t="n">
        <v>7838</v>
      </c>
    </row>
    <row r="57">
      <c r="B57" t="inlineStr">
        <is>
          <t>Effect of exchange rate changes</t>
        </is>
      </c>
      <c r="C57" t="n">
        <v>152</v>
      </c>
      <c r="D57" t="n">
        <v>-124</v>
      </c>
      <c r="E57" t="n">
        <v>26</v>
      </c>
      <c r="F57" s="4" t="n">
        <v>-8</v>
      </c>
      <c r="G57" s="4" t="n">
        <v>-33</v>
      </c>
    </row>
    <row r="58">
      <c r="B58" t="inlineStr">
        <is>
          <t>Net increase (decrease) in cash and cash equivalents</t>
        </is>
      </c>
      <c r="C58" t="n">
        <v>-1521</v>
      </c>
      <c r="D58" t="n">
        <v>376</v>
      </c>
      <c r="E58" t="n">
        <v>1456</v>
      </c>
      <c r="F58" s="4" t="n">
        <v>1552</v>
      </c>
      <c r="G58" s="4" t="n">
        <v>-731</v>
      </c>
    </row>
    <row r="59">
      <c r="B59" t="inlineStr">
        <is>
          <t>Cash and cash equivalents, beginning of period</t>
        </is>
      </c>
      <c r="C59" t="n">
        <v>8848</v>
      </c>
      <c r="D59" t="n">
        <v>8472</v>
      </c>
      <c r="E59" t="n">
        <v>7016</v>
      </c>
      <c r="F59" s="4" t="n">
        <v>5464</v>
      </c>
      <c r="G59" s="4" t="n">
        <v>6195</v>
      </c>
    </row>
    <row r="60">
      <c r="B60" t="inlineStr">
        <is>
          <t>Cash and cash equivalents, end of period</t>
        </is>
      </c>
      <c r="C60" t="n">
        <v>7327</v>
      </c>
      <c r="D60" t="n">
        <v>8848</v>
      </c>
      <c r="E60" t="n">
        <v>8472</v>
      </c>
      <c r="F60" s="45" t="n">
        <v>7016</v>
      </c>
      <c r="G60" s="45" t="n">
        <v>5464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54"/>
  <sheetViews>
    <sheetView tabSelected="1" workbookViewId="0">
      <pane ySplit="2" topLeftCell="A4" activePane="bottomLeft" state="frozen"/>
      <selection pane="bottomLeft" activeCell="H22" sqref="H22"/>
    </sheetView>
  </sheetViews>
  <sheetFormatPr baseColWidth="10" defaultRowHeight="16"/>
  <cols>
    <col width="56" bestFit="1" customWidth="1" min="1" max="1"/>
    <col width="9.6640625" customWidth="1" min="2" max="2"/>
    <col width="11.33203125" customWidth="1" min="3" max="3"/>
    <col width="10.83203125" customWidth="1" min="4" max="4"/>
    <col width="11.33203125" customWidth="1" min="5" max="5"/>
    <col width="10.1640625" customWidth="1" min="6" max="6"/>
    <col width="10.5" customWidth="1" min="7" max="7"/>
    <col width="11.33203125" bestFit="1" customWidth="1" min="12" max="12"/>
    <col width="21" bestFit="1" customWidth="1" min="13" max="13"/>
    <col width="20.33203125" bestFit="1" customWidth="1" min="14" max="14"/>
  </cols>
  <sheetData>
    <row r="1">
      <c r="A1" t="inlineStr">
        <is>
          <t>Amount in millions</t>
        </is>
      </c>
    </row>
    <row r="2">
      <c r="A2" t="inlineStr">
        <is>
          <t>Income statement</t>
        </is>
      </c>
      <c r="B2" t="n">
        <v>2021</v>
      </c>
      <c r="C2" t="n">
        <v>2022</v>
      </c>
      <c r="D2" t="n">
        <v>2023</v>
      </c>
      <c r="E2" t="n">
        <v>2024</v>
      </c>
      <c r="F2" t="n">
        <v>2025</v>
      </c>
      <c r="G2" t="n">
        <v>2026</v>
      </c>
      <c r="H2" t="n">
        <v>2027</v>
      </c>
      <c r="I2" t="n">
        <v>2028</v>
      </c>
      <c r="J2" t="n">
        <v>2029</v>
      </c>
      <c r="K2" t="n">
        <v>2030</v>
      </c>
      <c r="L2" t="n">
        <v>2031</v>
      </c>
    </row>
    <row r="3">
      <c r="A3" t="inlineStr">
        <is>
          <t>Revenue:</t>
        </is>
      </c>
    </row>
    <row r="4">
      <c r="A4" t="inlineStr">
        <is>
          <t>Total Revenue</t>
        </is>
      </c>
      <c r="B4" t="n">
        <v>21252</v>
      </c>
      <c r="C4" s="6">
        <f>'IS26'!G16+'IS26'!G17</f>
        <v/>
      </c>
      <c r="D4" s="6">
        <f>'IS26'!F16+'IS26'!F17</f>
        <v/>
      </c>
      <c r="E4" s="6">
        <f>'IS26'!E16+'IS26'!E17</f>
        <v/>
      </c>
      <c r="F4" s="6">
        <f>'IS26'!D16+'IS26'!D17</f>
        <v/>
      </c>
      <c r="G4" s="6">
        <f>'IS26'!C16+'IS26'!C17</f>
        <v/>
      </c>
      <c r="H4" s="6">
        <f>G4*(1+Assumptions!B12)</f>
        <v/>
      </c>
      <c r="I4" s="6">
        <f>H4*(1+Assumptions!C12)</f>
        <v/>
      </c>
      <c r="J4" s="6">
        <f>I4*(1+Assumptions!D12)</f>
        <v/>
      </c>
      <c r="K4" s="6">
        <f>J4*(1+Assumptions!E12)</f>
        <v/>
      </c>
      <c r="L4" s="6">
        <f>K4*(1+Assumptions!F12)</f>
        <v/>
      </c>
    </row>
    <row r="5">
      <c r="A5" t="inlineStr">
        <is>
          <t>COGS:</t>
        </is>
      </c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</row>
    <row r="6">
      <c r="A6" t="inlineStr">
        <is>
          <t>Direct material/hosting/delivery</t>
        </is>
      </c>
      <c r="C6" s="6">
        <f>'IS26'!G20+'IS26'!G21</f>
        <v/>
      </c>
      <c r="D6" s="6">
        <f>'IS26'!F20+'IS26'!F21</f>
        <v/>
      </c>
      <c r="E6" s="6">
        <f>'IS26'!E20+'IS26'!E21</f>
        <v/>
      </c>
      <c r="F6" s="6">
        <f>'IS26'!D20+'IS26'!D21</f>
        <v/>
      </c>
      <c r="G6" s="6">
        <f>'IS26'!C20+'IS26'!C21</f>
        <v/>
      </c>
      <c r="H6" s="6">
        <f>H4*$G$121</f>
        <v/>
      </c>
      <c r="I6" s="6">
        <f>I4*$G$121</f>
        <v/>
      </c>
      <c r="J6" s="6">
        <f>J4*$G$121</f>
        <v/>
      </c>
      <c r="K6" s="6">
        <f>K4*$G$121</f>
        <v/>
      </c>
      <c r="L6" s="6">
        <f>L4*$G$121</f>
        <v/>
      </c>
    </row>
    <row r="7">
      <c r="A7" t="inlineStr">
        <is>
          <t>Direct labor</t>
        </is>
      </c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</row>
    <row r="8">
      <c r="A8" t="inlineStr">
        <is>
          <t>Other direct costs</t>
        </is>
      </c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>
      <c r="A9" t="inlineStr">
        <is>
          <t>Gross Profit</t>
        </is>
      </c>
      <c r="C9" s="9">
        <f>C4-C6</f>
        <v/>
      </c>
      <c r="D9" s="9">
        <f>D4-D6</f>
        <v/>
      </c>
      <c r="E9" s="9">
        <f>E4-E6</f>
        <v/>
      </c>
      <c r="F9" s="9">
        <f>F4-F6</f>
        <v/>
      </c>
      <c r="G9" s="9">
        <f>G4-G6</f>
        <v/>
      </c>
      <c r="H9" s="9">
        <f>H4-H6</f>
        <v/>
      </c>
      <c r="I9" s="9">
        <f>I4-I6</f>
        <v/>
      </c>
      <c r="J9" s="9">
        <f>J4-J6</f>
        <v/>
      </c>
      <c r="K9" s="9">
        <f>K4-K6</f>
        <v/>
      </c>
      <c r="L9" s="9">
        <f>L4-L6</f>
        <v/>
      </c>
    </row>
    <row r="10">
      <c r="A10" t="inlineStr">
        <is>
          <t>Gross margin</t>
        </is>
      </c>
      <c r="C10" s="7">
        <f>C9/C4</f>
        <v/>
      </c>
      <c r="D10" s="7">
        <f>D9/D4</f>
        <v/>
      </c>
      <c r="E10" s="7">
        <f>E9/E4</f>
        <v/>
      </c>
      <c r="F10" s="7">
        <f>F9/F4</f>
        <v/>
      </c>
      <c r="G10" s="7">
        <f>G9/G4</f>
        <v/>
      </c>
      <c r="H10" s="7">
        <f>H9/H4</f>
        <v/>
      </c>
      <c r="I10" s="7">
        <f>I9/I4</f>
        <v/>
      </c>
      <c r="J10" s="7">
        <f>J9/J4</f>
        <v/>
      </c>
      <c r="K10" s="7">
        <f>K9/K4</f>
        <v/>
      </c>
      <c r="L10" s="7">
        <f>L9/L4</f>
        <v/>
      </c>
    </row>
    <row r="11"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</row>
    <row r="12">
      <c r="A12" t="inlineStr">
        <is>
          <t>Operating expenses:</t>
        </is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>
      <c r="A13" t="inlineStr">
        <is>
          <t>R&amp;D</t>
        </is>
      </c>
      <c r="C13" s="6">
        <f>'IS26'!G25</f>
        <v/>
      </c>
      <c r="D13" s="6">
        <f>'IS26'!F25</f>
        <v/>
      </c>
      <c r="E13" s="6">
        <f>'IS26'!E25</f>
        <v/>
      </c>
      <c r="F13" s="6">
        <f>'IS26'!D25</f>
        <v/>
      </c>
      <c r="G13" s="6">
        <f>'IS26'!C25</f>
        <v/>
      </c>
      <c r="H13" s="6">
        <f>H4*Assumptions!B16</f>
        <v/>
      </c>
      <c r="I13" s="6">
        <f>I4*Assumptions!C16</f>
        <v/>
      </c>
      <c r="J13" s="6">
        <f>J4*Assumptions!D16</f>
        <v/>
      </c>
      <c r="K13" s="6">
        <f>K4*Assumptions!E16</f>
        <v/>
      </c>
      <c r="L13" s="6">
        <f>L4*Assumptions!F16</f>
        <v/>
      </c>
    </row>
    <row r="14">
      <c r="A14" t="inlineStr">
        <is>
          <t>Sales &amp; marketing</t>
        </is>
      </c>
      <c r="C14" s="6">
        <f>'IS26'!G26</f>
        <v/>
      </c>
      <c r="D14" s="6">
        <f>'IS26'!F26</f>
        <v/>
      </c>
      <c r="E14" s="6">
        <f>'IS26'!E26</f>
        <v/>
      </c>
      <c r="F14" s="6">
        <f>'IS26'!D26</f>
        <v/>
      </c>
      <c r="G14" s="6">
        <f>'IS26'!C26</f>
        <v/>
      </c>
      <c r="H14" s="6">
        <f>H4*Assumptions!B18</f>
        <v/>
      </c>
      <c r="I14" s="6">
        <f>I4*Assumptions!C18</f>
        <v/>
      </c>
      <c r="J14" s="6">
        <f>J4*Assumptions!D18</f>
        <v/>
      </c>
      <c r="K14" s="6">
        <f>K4*Assumptions!E18</f>
        <v/>
      </c>
      <c r="L14" s="6">
        <f>L4*Assumptions!F18</f>
        <v/>
      </c>
    </row>
    <row r="15">
      <c r="A15" t="inlineStr">
        <is>
          <t>G&amp;A</t>
        </is>
      </c>
      <c r="C15" s="6">
        <f>'IS26'!G27</f>
        <v/>
      </c>
      <c r="D15" s="6">
        <f>'IS26'!F27</f>
        <v/>
      </c>
      <c r="E15" s="6">
        <f>'IS26'!E27</f>
        <v/>
      </c>
      <c r="F15" s="6">
        <f>'IS26'!D27</f>
        <v/>
      </c>
      <c r="G15" s="6">
        <f>'IS26'!C27</f>
        <v/>
      </c>
      <c r="H15" s="6">
        <f>H4*Assumptions!B20</f>
        <v/>
      </c>
      <c r="I15" s="6">
        <f>I4*Assumptions!C20</f>
        <v/>
      </c>
      <c r="J15" s="6">
        <f>J4*Assumptions!D20</f>
        <v/>
      </c>
      <c r="K15" s="6">
        <f>K4*Assumptions!E20</f>
        <v/>
      </c>
      <c r="L15" s="6">
        <f>L4*Assumptions!F20</f>
        <v/>
      </c>
    </row>
    <row r="16">
      <c r="A16" t="inlineStr">
        <is>
          <t>Other opex</t>
        </is>
      </c>
      <c r="C16" s="6">
        <f>'IS26'!G28</f>
        <v/>
      </c>
      <c r="D16" s="6">
        <f>'IS26'!F28</f>
        <v/>
      </c>
      <c r="E16" s="6">
        <f>'IS26'!E28</f>
        <v/>
      </c>
      <c r="F16" s="6">
        <f>'IS26'!D28</f>
        <v/>
      </c>
      <c r="G16" s="6">
        <f>'IS26'!C28</f>
        <v/>
      </c>
      <c r="H16" s="6">
        <f>H4*Assumptions!B22</f>
        <v/>
      </c>
      <c r="I16" s="6">
        <f>I4*Assumptions!C22</f>
        <v/>
      </c>
      <c r="J16" s="6">
        <f>J4*Assumptions!D22</f>
        <v/>
      </c>
      <c r="K16" s="6">
        <f>K4*Assumptions!E22</f>
        <v/>
      </c>
      <c r="L16" s="6">
        <f>L4*Assumptions!F22</f>
        <v/>
      </c>
    </row>
    <row r="17">
      <c r="A17" t="inlineStr">
        <is>
          <t>Total opex</t>
        </is>
      </c>
      <c r="C17" s="6">
        <f>SUM(C13:C16)</f>
        <v/>
      </c>
      <c r="D17" s="6">
        <f>SUM(D13:D16)</f>
        <v/>
      </c>
      <c r="E17" s="6">
        <f>SUM(E13:E16)</f>
        <v/>
      </c>
      <c r="F17" s="6">
        <f>SUM(F13:F16)</f>
        <v/>
      </c>
      <c r="G17" s="6">
        <f>SUM(G13:G16)</f>
        <v/>
      </c>
      <c r="H17" s="6">
        <f>SUM(H13:H16)</f>
        <v/>
      </c>
      <c r="I17" s="6">
        <f>SUM(I13:I16)</f>
        <v/>
      </c>
      <c r="J17" s="6">
        <f>SUM(J13:J16)</f>
        <v/>
      </c>
      <c r="K17" s="6">
        <f>SUM(K13:K16)</f>
        <v/>
      </c>
      <c r="L17" s="6">
        <f>SUM(L13:L16)</f>
        <v/>
      </c>
    </row>
    <row r="18">
      <c r="A18" t="inlineStr">
        <is>
          <t>EBITDA</t>
        </is>
      </c>
      <c r="C18" s="9">
        <f>C9-C17</f>
        <v/>
      </c>
      <c r="D18" s="9">
        <f>D9-D17</f>
        <v/>
      </c>
      <c r="E18" s="9">
        <f>E9-E17</f>
        <v/>
      </c>
      <c r="F18" s="9">
        <f>F9-F17</f>
        <v/>
      </c>
      <c r="G18" s="9">
        <f>G9-G17</f>
        <v/>
      </c>
      <c r="H18" s="9">
        <f>H9-H17</f>
        <v/>
      </c>
      <c r="I18" s="9">
        <f>I9-I17</f>
        <v/>
      </c>
      <c r="J18" s="9">
        <f>J9-J17</f>
        <v/>
      </c>
      <c r="K18" s="9">
        <f>K9-K17</f>
        <v/>
      </c>
      <c r="L18" s="9">
        <f>L9-L17</f>
        <v/>
      </c>
    </row>
    <row r="19">
      <c r="A19" t="inlineStr">
        <is>
          <t>Non-operating items:</t>
        </is>
      </c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>
      <c r="A20" t="inlineStr">
        <is>
          <t>Interest income</t>
        </is>
      </c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1">
      <c r="A21" t="inlineStr">
        <is>
          <t>Interest expense</t>
        </is>
      </c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</row>
    <row r="22">
      <c r="A22" t="inlineStr">
        <is>
          <t>Gains (losses) on strategic investments, net</t>
        </is>
      </c>
      <c r="C22" s="6">
        <f>+'IS26'!G33</f>
        <v/>
      </c>
      <c r="D22" s="6">
        <f>+'IS26'!F33</f>
        <v/>
      </c>
      <c r="E22" s="6">
        <f>'IS26'!E33</f>
        <v/>
      </c>
      <c r="F22" s="6">
        <f>'IS26'!D33</f>
        <v/>
      </c>
      <c r="G22" s="6">
        <f>'IS26'!C33</f>
        <v/>
      </c>
      <c r="H22" s="6" t="n">
        <v>0</v>
      </c>
      <c r="I22" s="6" t="n">
        <v>0</v>
      </c>
      <c r="J22" s="6" t="n">
        <v>0</v>
      </c>
      <c r="K22" s="6" t="n">
        <v>0</v>
      </c>
      <c r="L22" s="6" t="n">
        <v>0</v>
      </c>
    </row>
    <row r="23">
      <c r="A23" t="inlineStr">
        <is>
          <t>Other income/(expense)</t>
        </is>
      </c>
      <c r="C23" s="6">
        <f>'IS26'!G34</f>
        <v/>
      </c>
      <c r="D23" s="6">
        <f>'IS26'!F34</f>
        <v/>
      </c>
      <c r="E23" s="6">
        <f>+'IS26'!E34</f>
        <v/>
      </c>
      <c r="F23" s="6">
        <f>+'IS26'!D34</f>
        <v/>
      </c>
      <c r="G23" s="6">
        <f>+'IS26'!C34</f>
        <v/>
      </c>
      <c r="H23" s="6">
        <f>H4*Assumptions!B23</f>
        <v/>
      </c>
      <c r="I23" s="6">
        <f>I4*Assumptions!C23</f>
        <v/>
      </c>
      <c r="J23" s="6">
        <f>J4*Assumptions!D23</f>
        <v/>
      </c>
      <c r="K23" s="6">
        <f>K4*Assumptions!E23</f>
        <v/>
      </c>
      <c r="L23" s="6">
        <f>L4*Assumptions!F23</f>
        <v/>
      </c>
    </row>
    <row r="24"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</row>
    <row r="25">
      <c r="A25" t="inlineStr">
        <is>
          <t>Pre-tax income</t>
        </is>
      </c>
      <c r="C25" s="6">
        <f>C18+C23+C22</f>
        <v/>
      </c>
      <c r="D25" s="6">
        <f>D18+D23+D22</f>
        <v/>
      </c>
      <c r="E25" s="6">
        <f>E18+E23+E22</f>
        <v/>
      </c>
      <c r="F25" s="6">
        <f>F18+F23+F22</f>
        <v/>
      </c>
      <c r="G25" s="6">
        <f>G18+G23+G22</f>
        <v/>
      </c>
      <c r="H25" s="6">
        <f>H18+H23+H22</f>
        <v/>
      </c>
      <c r="I25" s="6">
        <f>I18+I23+I22</f>
        <v/>
      </c>
      <c r="J25" s="6">
        <f>J18+J23+J22</f>
        <v/>
      </c>
      <c r="K25" s="6">
        <f>K18+K23+K22</f>
        <v/>
      </c>
      <c r="L25" s="6">
        <f>L18+L23+L22</f>
        <v/>
      </c>
    </row>
    <row r="26">
      <c r="A26" t="inlineStr">
        <is>
          <t>Income tax expense</t>
        </is>
      </c>
      <c r="C26" s="6">
        <f>-'IS26'!G36</f>
        <v/>
      </c>
      <c r="D26" s="6">
        <f>-'IS26'!F36</f>
        <v/>
      </c>
      <c r="E26" s="6">
        <f>-'IS26'!E36</f>
        <v/>
      </c>
      <c r="F26" s="6">
        <f>-'IS26'!D36</f>
        <v/>
      </c>
      <c r="G26" s="6">
        <f>-'IS26'!C36</f>
        <v/>
      </c>
      <c r="H26" s="6">
        <f>H25*Assumptions!B33</f>
        <v/>
      </c>
      <c r="I26" s="6">
        <f>I25*Assumptions!C33</f>
        <v/>
      </c>
      <c r="J26" s="6">
        <f>J25*Assumptions!D33</f>
        <v/>
      </c>
      <c r="K26" s="6">
        <f>K25*Assumptions!E33</f>
        <v/>
      </c>
      <c r="L26" s="6">
        <f>L25*Assumptions!F33</f>
        <v/>
      </c>
    </row>
    <row r="27">
      <c r="A27" t="inlineStr">
        <is>
          <t>Net income</t>
        </is>
      </c>
      <c r="C27" s="9">
        <f>C25-C26</f>
        <v/>
      </c>
      <c r="D27" s="9">
        <f>D25-D26</f>
        <v/>
      </c>
      <c r="E27" s="9">
        <f>E25-E26</f>
        <v/>
      </c>
      <c r="F27" s="9">
        <f>F25-F26</f>
        <v/>
      </c>
      <c r="G27" s="9">
        <f>G25-G26</f>
        <v/>
      </c>
      <c r="H27" s="9">
        <f>H25-H26</f>
        <v/>
      </c>
      <c r="I27" s="9">
        <f>I25-I26</f>
        <v/>
      </c>
      <c r="J27" s="9">
        <f>J25-J26</f>
        <v/>
      </c>
      <c r="K27" s="9">
        <f>K25-K26</f>
        <v/>
      </c>
      <c r="L27" s="9">
        <f>L25-L26</f>
        <v/>
      </c>
    </row>
    <row r="28">
      <c r="A28" t="inlineStr">
        <is>
          <t>Net income margin</t>
        </is>
      </c>
      <c r="C28" s="7">
        <f>C27/C4</f>
        <v/>
      </c>
      <c r="D28" s="7">
        <f>D27/D4</f>
        <v/>
      </c>
      <c r="E28" s="7">
        <f>E27/E4</f>
        <v/>
      </c>
      <c r="F28" s="7">
        <f>F27/F4</f>
        <v/>
      </c>
      <c r="G28" s="7">
        <f>G27/G4</f>
        <v/>
      </c>
      <c r="H28" s="7">
        <f>H27/H4</f>
        <v/>
      </c>
      <c r="I28" s="7">
        <f>I27/I4</f>
        <v/>
      </c>
      <c r="J28" s="7">
        <f>J27/J4</f>
        <v/>
      </c>
      <c r="K28" s="7">
        <f>K27/K4</f>
        <v/>
      </c>
      <c r="L28" s="7">
        <f>L27/L4</f>
        <v/>
      </c>
    </row>
    <row r="29"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</row>
    <row r="30">
      <c r="A30" t="inlineStr">
        <is>
          <t>Balancesheet</t>
        </is>
      </c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</row>
    <row r="31">
      <c r="A31" t="inlineStr">
        <is>
          <t>Assets:</t>
        </is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</row>
    <row r="32">
      <c r="A32" t="inlineStr">
        <is>
          <t>Current Assets</t>
        </is>
      </c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</row>
    <row r="33">
      <c r="A33" t="inlineStr">
        <is>
          <t>CCE-marketable securities</t>
        </is>
      </c>
      <c r="B33" t="n">
        <v>6195</v>
      </c>
      <c r="C33" s="6">
        <f>'BS 2026'!G18</f>
        <v/>
      </c>
      <c r="D33" s="6">
        <f>'BS 2026'!F18</f>
        <v/>
      </c>
      <c r="E33" s="6">
        <f>'BS 2026'!E18</f>
        <v/>
      </c>
      <c r="F33" s="6">
        <f>'BS 2026'!D18</f>
        <v/>
      </c>
      <c r="G33" s="6">
        <f>'BS 2026'!C18</f>
        <v/>
      </c>
      <c r="H33" s="6">
        <f>H117</f>
        <v/>
      </c>
      <c r="I33" s="6">
        <f>I117</f>
        <v/>
      </c>
      <c r="J33" s="6">
        <f>J117</f>
        <v/>
      </c>
      <c r="K33" s="6">
        <f>K117</f>
        <v/>
      </c>
      <c r="L33" s="6">
        <f>L117</f>
        <v/>
      </c>
    </row>
    <row r="34">
      <c r="A34" t="inlineStr">
        <is>
          <t>Short term investment</t>
        </is>
      </c>
      <c r="C34" s="6">
        <f>'BS 2026'!G19</f>
        <v/>
      </c>
      <c r="D34" s="6">
        <f>'BS 2026'!F19</f>
        <v/>
      </c>
      <c r="E34" s="6">
        <f>'BS 2026'!E19</f>
        <v/>
      </c>
      <c r="F34" s="6">
        <f>'BS 2026'!D19</f>
        <v/>
      </c>
      <c r="G34" s="6">
        <f>'BS 2026'!C19</f>
        <v/>
      </c>
      <c r="H34" s="6">
        <f>MAX(0,-H75)</f>
        <v/>
      </c>
      <c r="I34" s="6">
        <f>MAX(0,-I75)</f>
        <v/>
      </c>
      <c r="J34" s="6">
        <f>MAX(0,-J75)</f>
        <v/>
      </c>
      <c r="K34" s="6">
        <f>MAX(0,-K75)</f>
        <v/>
      </c>
      <c r="L34" s="6">
        <f>MAX(0,-L75)</f>
        <v/>
      </c>
    </row>
    <row r="35">
      <c r="A35" t="inlineStr">
        <is>
          <t>Accounts receivable</t>
        </is>
      </c>
      <c r="C35" s="6">
        <f>'BS 2026'!G20</f>
        <v/>
      </c>
      <c r="D35" s="6">
        <f>'BS 2026'!F20</f>
        <v/>
      </c>
      <c r="E35" s="6">
        <f>'BS 2026'!E20</f>
        <v/>
      </c>
      <c r="F35" s="6">
        <f>'BS 2026'!D20</f>
        <v/>
      </c>
      <c r="G35" s="6">
        <f>'BS 2026'!C20</f>
        <v/>
      </c>
      <c r="H35" s="6">
        <f>(Assumptions!B30*Forecasting!H4)/365</f>
        <v/>
      </c>
      <c r="I35" s="6">
        <f>(Assumptions!C30*Forecasting!I4)/365</f>
        <v/>
      </c>
      <c r="J35" s="6">
        <f>(Assumptions!D30*Forecasting!J4)/365</f>
        <v/>
      </c>
      <c r="K35" s="6">
        <f>(Assumptions!E30*Forecasting!K4)/365</f>
        <v/>
      </c>
      <c r="L35" s="6">
        <f>(Assumptions!F30*Forecasting!L4)/365</f>
        <v/>
      </c>
    </row>
    <row r="36">
      <c r="A36" t="inlineStr">
        <is>
          <t>Inventory</t>
        </is>
      </c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</row>
    <row r="37">
      <c r="A37" t="inlineStr">
        <is>
          <t>Prepaid expenses</t>
        </is>
      </c>
      <c r="C37" s="6">
        <f>'BS 2026'!G22</f>
        <v/>
      </c>
      <c r="D37" s="6">
        <f>'BS 2026'!F22</f>
        <v/>
      </c>
      <c r="E37" s="6">
        <f>'BS 2026'!E22</f>
        <v/>
      </c>
      <c r="F37" s="6">
        <f>'BS 2026'!D22</f>
        <v/>
      </c>
      <c r="G37" s="6">
        <f>'BS 2026'!C22</f>
        <v/>
      </c>
      <c r="H37" s="6">
        <f>H4*(Assumptions!B35)</f>
        <v/>
      </c>
      <c r="I37" s="6">
        <f>I4*(Assumptions!C35)</f>
        <v/>
      </c>
      <c r="J37" s="6">
        <f>J4*(Assumptions!D35)</f>
        <v/>
      </c>
      <c r="K37" s="6">
        <f>K4*(Assumptions!E35)</f>
        <v/>
      </c>
      <c r="L37" s="6">
        <f>L4*(Assumptions!F35)</f>
        <v/>
      </c>
    </row>
    <row r="38">
      <c r="A38" t="inlineStr">
        <is>
          <t>Other CA</t>
        </is>
      </c>
      <c r="C38" s="6">
        <f>'BS 2026'!G21</f>
        <v/>
      </c>
      <c r="D38" s="6">
        <f>'BS 2026'!F21</f>
        <v/>
      </c>
      <c r="E38" s="6">
        <f>'BS 2026'!E21</f>
        <v/>
      </c>
      <c r="F38" s="6">
        <f>'BS 2026'!D21</f>
        <v/>
      </c>
      <c r="G38" s="6">
        <f>'BS 2026'!C21</f>
        <v/>
      </c>
      <c r="H38" s="6">
        <f>H4*Assumptions!B37</f>
        <v/>
      </c>
      <c r="I38" s="6">
        <f>I4*Assumptions!C37</f>
        <v/>
      </c>
      <c r="J38" s="6">
        <f>J4*Assumptions!D37</f>
        <v/>
      </c>
      <c r="K38" s="6">
        <f>K4*Assumptions!E37</f>
        <v/>
      </c>
      <c r="L38" s="6">
        <f>L4*Assumptions!F37</f>
        <v/>
      </c>
    </row>
    <row r="39">
      <c r="A39" t="inlineStr">
        <is>
          <t>Total CA</t>
        </is>
      </c>
      <c r="C39" s="9">
        <f>SUM(C33:C38)</f>
        <v/>
      </c>
      <c r="D39" s="9">
        <f>SUM(D33:D38)</f>
        <v/>
      </c>
      <c r="E39" s="9">
        <f>SUM(E33:E38)</f>
        <v/>
      </c>
      <c r="F39" s="9">
        <f>SUM(F33:F38)</f>
        <v/>
      </c>
      <c r="G39" s="9">
        <f>SUM(G33:G38)</f>
        <v/>
      </c>
      <c r="H39" s="9">
        <f>SUM(H33:H38)</f>
        <v/>
      </c>
      <c r="I39" s="9">
        <f>SUM(I33:I38)</f>
        <v/>
      </c>
      <c r="J39" s="9">
        <f>SUM(J33:J38)</f>
        <v/>
      </c>
      <c r="K39" s="9">
        <f>SUM(K33:K38)</f>
        <v/>
      </c>
      <c r="L39" s="9">
        <f>SUM(L33:L38)</f>
        <v/>
      </c>
    </row>
    <row r="40">
      <c r="A40" t="inlineStr">
        <is>
          <t>Non-Current assets</t>
        </is>
      </c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</row>
    <row r="41">
      <c r="A41" t="inlineStr">
        <is>
          <t>PPE</t>
        </is>
      </c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</row>
    <row r="42">
      <c r="A42" t="inlineStr">
        <is>
          <t>Accoumulated depreciation</t>
        </is>
      </c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</row>
    <row r="43">
      <c r="A43" t="inlineStr">
        <is>
          <t>PPE, net</t>
        </is>
      </c>
      <c r="C43" s="6">
        <f>'BS 2026'!G24</f>
        <v/>
      </c>
      <c r="D43" s="6">
        <f>'BS 2026'!F24</f>
        <v/>
      </c>
      <c r="E43" s="6">
        <f>'BS 2026'!E24</f>
        <v/>
      </c>
      <c r="F43" s="6">
        <f>'BS 2026'!D24</f>
        <v/>
      </c>
      <c r="G43" s="6">
        <f>'BS 2026'!C24</f>
        <v/>
      </c>
      <c r="H43" s="6">
        <f>H4*(Assumptions!B38)</f>
        <v/>
      </c>
      <c r="I43" s="6">
        <f>I4*(Assumptions!C38)</f>
        <v/>
      </c>
      <c r="J43" s="6">
        <f>J4*(Assumptions!D38)</f>
        <v/>
      </c>
      <c r="K43" s="6">
        <f>K4*(Assumptions!E38)</f>
        <v/>
      </c>
      <c r="L43" s="6">
        <f>L4*(Assumptions!F38)</f>
        <v/>
      </c>
    </row>
    <row r="44">
      <c r="A44" t="inlineStr">
        <is>
          <t>Goodwill</t>
        </is>
      </c>
      <c r="C44" s="6">
        <f>'BS 2026'!G29</f>
        <v/>
      </c>
      <c r="D44" s="6">
        <f>'BS 2026'!F29</f>
        <v/>
      </c>
      <c r="E44" s="6">
        <f>'BS 2026'!E29</f>
        <v/>
      </c>
      <c r="F44" s="6">
        <f>'BS 2026'!D29</f>
        <v/>
      </c>
      <c r="G44" s="6">
        <f>'BS 2026'!C29</f>
        <v/>
      </c>
      <c r="H44" s="6">
        <f>G44+(-H94+G94)</f>
        <v/>
      </c>
      <c r="I44" s="6">
        <f>H44+(-I94+H94)</f>
        <v/>
      </c>
      <c r="J44" s="6">
        <f>I44+(-J94+I94)</f>
        <v/>
      </c>
      <c r="K44" s="6">
        <f>J44+(-K94+J94)</f>
        <v/>
      </c>
      <c r="L44" s="6">
        <f>K44+(-L94+K94)</f>
        <v/>
      </c>
    </row>
    <row r="45">
      <c r="A45" t="inlineStr">
        <is>
          <t>Intangible assets</t>
        </is>
      </c>
      <c r="C45" s="6">
        <f>'BS 2026'!G30</f>
        <v/>
      </c>
      <c r="D45" s="6">
        <f>'BS 2026'!F30</f>
        <v/>
      </c>
      <c r="E45" s="6">
        <f>'BS 2026'!E30</f>
        <v/>
      </c>
      <c r="F45" s="6">
        <f>'BS 2026'!D30</f>
        <v/>
      </c>
      <c r="G45" s="6">
        <f>'BS 2026'!C30</f>
        <v/>
      </c>
      <c r="H45" s="6">
        <f>G45</f>
        <v/>
      </c>
      <c r="I45" s="6">
        <f>H45</f>
        <v/>
      </c>
      <c r="J45" s="6">
        <f>I45</f>
        <v/>
      </c>
      <c r="K45" s="6">
        <f>J45</f>
        <v/>
      </c>
      <c r="L45" s="6">
        <f>K45</f>
        <v/>
      </c>
    </row>
    <row r="46">
      <c r="A46" t="inlineStr">
        <is>
          <t>Operating lease right-of-use assets, net</t>
        </is>
      </c>
      <c r="C46" s="6">
        <f>'BS 2026'!G25</f>
        <v/>
      </c>
      <c r="D46" s="6">
        <f>'BS 2026'!F25</f>
        <v/>
      </c>
      <c r="E46" s="6">
        <f>'BS 2026'!E25</f>
        <v/>
      </c>
      <c r="F46" s="6">
        <f>'BS 2026'!D25</f>
        <v/>
      </c>
      <c r="G46" s="6">
        <f>'BS 2026'!C25</f>
        <v/>
      </c>
      <c r="H46" s="6">
        <f>G46</f>
        <v/>
      </c>
      <c r="I46" s="6">
        <f>H46</f>
        <v/>
      </c>
      <c r="J46" s="6">
        <f>I46</f>
        <v/>
      </c>
      <c r="K46" s="6">
        <f>J46</f>
        <v/>
      </c>
      <c r="L46" s="6">
        <f>K46</f>
        <v/>
      </c>
    </row>
    <row r="47">
      <c r="A47" t="inlineStr">
        <is>
          <t>Noncurrent costs capitalized to obtain revenue contracts, net</t>
        </is>
      </c>
      <c r="C47" s="6">
        <f>'BS 2026'!G26</f>
        <v/>
      </c>
      <c r="D47" s="6">
        <f>'BS 2026'!F26</f>
        <v/>
      </c>
      <c r="E47" s="6">
        <f>'BS 2026'!E26</f>
        <v/>
      </c>
      <c r="F47" s="6">
        <f>'BS 2026'!D26</f>
        <v/>
      </c>
      <c r="G47" s="6">
        <f>'BS 2026'!C26</f>
        <v/>
      </c>
      <c r="H47" s="6">
        <f>H4*$H$150</f>
        <v/>
      </c>
      <c r="I47" s="6">
        <f>I4*$H$150</f>
        <v/>
      </c>
      <c r="J47" s="6">
        <f>J4*$H$150</f>
        <v/>
      </c>
      <c r="K47" s="6">
        <f>K4*$H$150</f>
        <v/>
      </c>
      <c r="L47" s="6">
        <f>L4*$H$150</f>
        <v/>
      </c>
    </row>
    <row r="48">
      <c r="A48" t="inlineStr">
        <is>
          <t>Strategic Investments</t>
        </is>
      </c>
      <c r="C48" s="6">
        <f>'BS 2026'!G28</f>
        <v/>
      </c>
      <c r="D48" s="6">
        <f>'BS 2026'!F28</f>
        <v/>
      </c>
      <c r="E48" s="6">
        <f>'BS 2026'!E28</f>
        <v/>
      </c>
      <c r="F48" s="6">
        <f>'BS 2026'!D28</f>
        <v/>
      </c>
      <c r="G48" s="6">
        <f>'BS 2026'!C28</f>
        <v/>
      </c>
      <c r="H48" s="6">
        <f>G48</f>
        <v/>
      </c>
      <c r="I48" s="6">
        <f>H48</f>
        <v/>
      </c>
      <c r="J48" s="6">
        <f>I48</f>
        <v/>
      </c>
      <c r="K48" s="6">
        <f>J48</f>
        <v/>
      </c>
      <c r="L48" s="6">
        <f>K48</f>
        <v/>
      </c>
    </row>
    <row r="49">
      <c r="A49" t="inlineStr">
        <is>
          <t>Deferred Tax asset</t>
        </is>
      </c>
      <c r="C49" s="6">
        <f>'BS 2026'!G31</f>
        <v/>
      </c>
      <c r="D49" s="6">
        <f>'BS 2026'!F31</f>
        <v/>
      </c>
      <c r="E49" s="6">
        <f>'BS 2026'!E31</f>
        <v/>
      </c>
      <c r="F49" s="6">
        <f>'BS 2026'!D31</f>
        <v/>
      </c>
      <c r="G49" s="6">
        <f>'BS 2026'!C31</f>
        <v/>
      </c>
      <c r="H49" s="6">
        <f>H4*(Assumptions!B41)</f>
        <v/>
      </c>
      <c r="I49" s="6">
        <f>I4*(Assumptions!C41)</f>
        <v/>
      </c>
      <c r="J49" s="6">
        <f>J4*(Assumptions!D41)</f>
        <v/>
      </c>
      <c r="K49" s="6">
        <f>K4*(Assumptions!E41)</f>
        <v/>
      </c>
      <c r="L49" s="6">
        <f>L4*(Assumptions!F41)</f>
        <v/>
      </c>
    </row>
    <row r="50">
      <c r="A50" t="inlineStr">
        <is>
          <t>Total non-current assets</t>
        </is>
      </c>
      <c r="C50" s="6" t="n"/>
      <c r="D50" s="6" t="n"/>
      <c r="E50" s="6" t="n"/>
      <c r="F50" s="6" t="n"/>
      <c r="G50" s="6" t="n"/>
      <c r="H50" s="6">
        <f>SUM(H43:H49)</f>
        <v/>
      </c>
      <c r="I50" s="6">
        <f>SUM(I43:I49)</f>
        <v/>
      </c>
      <c r="J50" s="6">
        <f>SUM(J43:J49)</f>
        <v/>
      </c>
      <c r="K50" s="6">
        <f>SUM(K43:K49)</f>
        <v/>
      </c>
      <c r="L50" s="6">
        <f>SUM(L43:L49)</f>
        <v/>
      </c>
    </row>
    <row r="51">
      <c r="A51" t="inlineStr">
        <is>
          <t>Total Assets</t>
        </is>
      </c>
      <c r="C51" s="10">
        <f>C39+SUM(C43:C49)</f>
        <v/>
      </c>
      <c r="D51" s="10">
        <f>D39+SUM(D43:D49)</f>
        <v/>
      </c>
      <c r="E51" s="10">
        <f>E39+SUM(E43:E49)</f>
        <v/>
      </c>
      <c r="F51" s="10">
        <f>F39+SUM(F43:F49)</f>
        <v/>
      </c>
      <c r="G51" s="10">
        <f>G39+SUM(G43:G49)</f>
        <v/>
      </c>
      <c r="H51" s="10">
        <f>H39+SUM(H43:H49)</f>
        <v/>
      </c>
      <c r="I51" s="10">
        <f>I39+SUM(I43:I49)</f>
        <v/>
      </c>
      <c r="J51" s="10">
        <f>J39+SUM(J43:J49)</f>
        <v/>
      </c>
      <c r="K51" s="10">
        <f>K39+SUM(K43:K49)</f>
        <v/>
      </c>
      <c r="L51" s="10">
        <f>L39+SUM(L43:L49)</f>
        <v/>
      </c>
    </row>
    <row r="52">
      <c r="A52" t="inlineStr">
        <is>
          <t>Liabilities:</t>
        </is>
      </c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</row>
    <row r="53">
      <c r="A53" t="inlineStr">
        <is>
          <t>Current Liabilities</t>
        </is>
      </c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</row>
    <row r="54">
      <c r="A54" t="inlineStr">
        <is>
          <t>Accounts Payable</t>
        </is>
      </c>
      <c r="C54" s="6">
        <f>'BS 2026'!G35</f>
        <v/>
      </c>
      <c r="D54" s="6">
        <f>'BS 2026'!F35</f>
        <v/>
      </c>
      <c r="E54" s="6">
        <f>'BS 2026'!E35</f>
        <v/>
      </c>
      <c r="F54" s="6">
        <f>'BS 2026'!D35</f>
        <v/>
      </c>
      <c r="G54" s="6">
        <f>'BS 2026'!C35</f>
        <v/>
      </c>
      <c r="H54" s="6">
        <f>(Assumptions!B32*Forecasting!H6)/365</f>
        <v/>
      </c>
      <c r="I54" s="6">
        <f>(Assumptions!C32*Forecasting!I6)/365</f>
        <v/>
      </c>
      <c r="J54" s="6">
        <f>(Assumptions!D32*Forecasting!J6)/365</f>
        <v/>
      </c>
      <c r="K54" s="6">
        <f>(Assumptions!E32*Forecasting!K6)/365</f>
        <v/>
      </c>
      <c r="L54" s="6">
        <f>(Assumptions!F32*Forecasting!L6)/365</f>
        <v/>
      </c>
    </row>
    <row r="55">
      <c r="A55" t="inlineStr">
        <is>
          <t>Accrued expenses</t>
        </is>
      </c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</row>
    <row r="56">
      <c r="A56" t="inlineStr">
        <is>
          <t>Other CL</t>
        </is>
      </c>
      <c r="C56" s="6">
        <f>'BS 2026'!G36+'BS 2026'!G37</f>
        <v/>
      </c>
      <c r="D56" s="6">
        <f>'BS 2026'!F36+'BS 2026'!F37</f>
        <v/>
      </c>
      <c r="E56" s="6">
        <f>'BS 2026'!E36+'BS 2026'!E37</f>
        <v/>
      </c>
      <c r="F56" s="6">
        <f>'BS 2026'!D36+'BS 2026'!D37</f>
        <v/>
      </c>
      <c r="G56" s="6">
        <f>'BS 2026'!C36+'BS 2026'!C37</f>
        <v/>
      </c>
      <c r="H56" s="6">
        <f>H4*$H$152</f>
        <v/>
      </c>
      <c r="I56" s="6">
        <f>I4*$H$152</f>
        <v/>
      </c>
      <c r="J56" s="6">
        <f>J4*$H$152</f>
        <v/>
      </c>
      <c r="K56" s="6">
        <f>K4*$H$152</f>
        <v/>
      </c>
      <c r="L56" s="6">
        <f>L4*$H$152</f>
        <v/>
      </c>
    </row>
    <row r="57">
      <c r="A57" t="inlineStr">
        <is>
          <t>Short term debt- current portion</t>
        </is>
      </c>
      <c r="C57" s="6">
        <f>'BS 2026'!G39</f>
        <v/>
      </c>
      <c r="D57" s="6">
        <f>'BS 2026'!F39</f>
        <v/>
      </c>
      <c r="E57" s="6">
        <f>'BS 2026'!E39</f>
        <v/>
      </c>
      <c r="F57" s="6">
        <f>'BS 2026'!D39</f>
        <v/>
      </c>
      <c r="G57" s="6">
        <f>'BS 2026'!C39</f>
        <v/>
      </c>
      <c r="H57" s="6">
        <f>MAX(0,H75)</f>
        <v/>
      </c>
      <c r="I57" s="6">
        <f>MAX(0,I75)</f>
        <v/>
      </c>
      <c r="J57" s="6">
        <f>MAX(0,J75)</f>
        <v/>
      </c>
      <c r="K57" s="6">
        <f>MAX(0,K75)</f>
        <v/>
      </c>
      <c r="L57" s="6">
        <f>MAX(0,L75)</f>
        <v/>
      </c>
    </row>
    <row r="58">
      <c r="A58" t="inlineStr">
        <is>
          <t>Total CL</t>
        </is>
      </c>
      <c r="C58" s="9">
        <f>SUM(C54:C57)</f>
        <v/>
      </c>
      <c r="D58" s="9">
        <f>SUM(D54:D57)</f>
        <v/>
      </c>
      <c r="E58" s="9">
        <f>SUM(E54:E57)</f>
        <v/>
      </c>
      <c r="F58" s="9">
        <f>SUM(F54:F57)</f>
        <v/>
      </c>
      <c r="G58" s="9">
        <f>SUM(G54:G57)</f>
        <v/>
      </c>
      <c r="H58" s="9">
        <f>SUM(H54:H57)</f>
        <v/>
      </c>
      <c r="I58" s="9">
        <f>SUM(I54:I57)</f>
        <v/>
      </c>
      <c r="J58" s="9">
        <f>SUM(J54:J57)</f>
        <v/>
      </c>
      <c r="K58" s="9">
        <f>SUM(K54:K57)</f>
        <v/>
      </c>
      <c r="L58" s="9">
        <f>SUM(L54:L57)</f>
        <v/>
      </c>
    </row>
    <row r="59">
      <c r="A59" t="inlineStr">
        <is>
          <t>Non-current liabilities</t>
        </is>
      </c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</row>
    <row r="60">
      <c r="A60" t="inlineStr">
        <is>
          <t>Long term debt</t>
        </is>
      </c>
      <c r="C60" s="6">
        <f>'BS 2026'!G41</f>
        <v/>
      </c>
      <c r="D60" s="6">
        <f>'BS 2026'!F41</f>
        <v/>
      </c>
      <c r="E60" s="6">
        <f>'BS 2026'!E41</f>
        <v/>
      </c>
      <c r="F60" s="6">
        <f>'BS 2026'!D41</f>
        <v/>
      </c>
      <c r="G60" s="6">
        <f>'BS 2026'!C41</f>
        <v/>
      </c>
      <c r="H60" s="6">
        <f>G60+H111</f>
        <v/>
      </c>
      <c r="I60" s="6">
        <f>H60+I111</f>
        <v/>
      </c>
      <c r="J60" s="6">
        <f>I60+J111</f>
        <v/>
      </c>
      <c r="K60" s="6">
        <f>J60+K111</f>
        <v/>
      </c>
      <c r="L60" s="6">
        <f>K60+L111</f>
        <v/>
      </c>
    </row>
    <row r="61">
      <c r="A61" t="inlineStr">
        <is>
          <t>lease liabilities</t>
        </is>
      </c>
      <c r="C61" s="6">
        <f>'BS 2026'!G42</f>
        <v/>
      </c>
      <c r="D61" s="6">
        <f>'BS 2026'!F42</f>
        <v/>
      </c>
      <c r="E61" s="6">
        <f>'BS 2026'!E42</f>
        <v/>
      </c>
      <c r="F61" s="6">
        <f>'BS 2026'!D42</f>
        <v/>
      </c>
      <c r="G61" s="6">
        <f>'BS 2026'!C42</f>
        <v/>
      </c>
      <c r="H61" s="6">
        <f>G61*(1-0.05)</f>
        <v/>
      </c>
      <c r="I61" s="6">
        <f>H61*(1-0.05)</f>
        <v/>
      </c>
      <c r="J61" s="6">
        <f>I61*(1-0.05)</f>
        <v/>
      </c>
      <c r="K61" s="6">
        <f>J61*(1-0.05)</f>
        <v/>
      </c>
      <c r="L61" s="6">
        <f>K61*(1-0.05)</f>
        <v/>
      </c>
    </row>
    <row r="62">
      <c r="A62" t="inlineStr">
        <is>
          <t>Deffered tax liability</t>
        </is>
      </c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</row>
    <row r="63">
      <c r="A63" t="inlineStr">
        <is>
          <t>Other non-current liabilities</t>
        </is>
      </c>
      <c r="C63" s="6">
        <f>'BS 2026'!G43</f>
        <v/>
      </c>
      <c r="D63" s="6">
        <f>'BS 2026'!F43</f>
        <v/>
      </c>
      <c r="E63" s="6">
        <f>'BS 2026'!E43</f>
        <v/>
      </c>
      <c r="F63" s="6">
        <f>'BS 2026'!D43</f>
        <v/>
      </c>
      <c r="G63" s="6">
        <f>'BS 2026'!C43</f>
        <v/>
      </c>
      <c r="H63" s="6">
        <f>G63</f>
        <v/>
      </c>
      <c r="I63" s="6">
        <f>H63</f>
        <v/>
      </c>
      <c r="J63" s="6">
        <f>I63</f>
        <v/>
      </c>
      <c r="K63" s="6">
        <f>J63</f>
        <v/>
      </c>
      <c r="L63" s="6">
        <f>K63</f>
        <v/>
      </c>
    </row>
    <row r="64">
      <c r="A64" t="inlineStr">
        <is>
          <t>Total non-current Liabilities</t>
        </is>
      </c>
      <c r="C64" s="6">
        <f>SUM(C60:C63)</f>
        <v/>
      </c>
      <c r="D64" s="6">
        <f>SUM(D60:D63)</f>
        <v/>
      </c>
      <c r="E64" s="6">
        <f>SUM(E60:E63)</f>
        <v/>
      </c>
      <c r="F64" s="6">
        <f>SUM(F60:F63)</f>
        <v/>
      </c>
      <c r="G64" s="6">
        <f>SUM(G60:G63)</f>
        <v/>
      </c>
      <c r="H64" s="6">
        <f>SUM(H60:H63)</f>
        <v/>
      </c>
      <c r="I64" s="6">
        <f>SUM(I60:I63)</f>
        <v/>
      </c>
      <c r="J64" s="6">
        <f>SUM(J60:J63)</f>
        <v/>
      </c>
      <c r="K64" s="6">
        <f>SUM(K60:K63)</f>
        <v/>
      </c>
      <c r="L64" s="6">
        <f>SUM(L60:L63)</f>
        <v/>
      </c>
    </row>
    <row r="65">
      <c r="A65" t="inlineStr">
        <is>
          <t>Total Liabilities</t>
        </is>
      </c>
      <c r="C65" s="9">
        <f>C64+C58</f>
        <v/>
      </c>
      <c r="D65" s="9">
        <f>D64+D58</f>
        <v/>
      </c>
      <c r="E65" s="9">
        <f>E64+E58</f>
        <v/>
      </c>
      <c r="F65" s="9">
        <f>F64+F58</f>
        <v/>
      </c>
      <c r="G65" s="9">
        <f>G64+G58</f>
        <v/>
      </c>
      <c r="H65" s="9">
        <f>H64+H58</f>
        <v/>
      </c>
      <c r="I65" s="9">
        <f>I64+I58</f>
        <v/>
      </c>
      <c r="J65" s="9">
        <f>J64+J58</f>
        <v/>
      </c>
      <c r="K65" s="9">
        <f>K64+K58</f>
        <v/>
      </c>
      <c r="L65" s="9">
        <f>L64+L58</f>
        <v/>
      </c>
    </row>
    <row r="66">
      <c r="A66" t="inlineStr">
        <is>
          <t>Equity</t>
        </is>
      </c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</row>
    <row r="67">
      <c r="A67" t="inlineStr">
        <is>
          <t>Common Stock</t>
        </is>
      </c>
      <c r="C67" s="6">
        <f>'BS 2026'!G52</f>
        <v/>
      </c>
      <c r="D67" s="6">
        <f>'BS 2026'!F52</f>
        <v/>
      </c>
      <c r="E67" s="6">
        <f>'BS 2026'!E52</f>
        <v/>
      </c>
      <c r="F67" s="6">
        <f>'BS 2026'!D52</f>
        <v/>
      </c>
      <c r="G67" s="6">
        <f>'BS 2026'!C52</f>
        <v/>
      </c>
      <c r="H67" s="6">
        <f>G67</f>
        <v/>
      </c>
      <c r="I67" s="6">
        <f>H67</f>
        <v/>
      </c>
      <c r="J67" s="6">
        <f>I67</f>
        <v/>
      </c>
      <c r="K67" s="6">
        <f>J67</f>
        <v/>
      </c>
      <c r="L67" s="6">
        <f>K67</f>
        <v/>
      </c>
    </row>
    <row r="68">
      <c r="A68" t="inlineStr">
        <is>
          <t>Additional paid -in capital</t>
        </is>
      </c>
      <c r="C68" s="6">
        <f>'BS 2026'!G55</f>
        <v/>
      </c>
      <c r="D68" s="6">
        <f>'BS 2026'!F55</f>
        <v/>
      </c>
      <c r="E68" s="6">
        <f>'BS 2026'!E55</f>
        <v/>
      </c>
      <c r="F68" s="6">
        <f>'BS 2026'!D55</f>
        <v/>
      </c>
      <c r="G68" s="6">
        <f>'BS 2026'!C55</f>
        <v/>
      </c>
      <c r="H68" s="6">
        <f>G68+H82+H109</f>
        <v/>
      </c>
      <c r="I68" s="6">
        <f>H68+I82+I109</f>
        <v/>
      </c>
      <c r="J68" s="6">
        <f>I68+J82+J109</f>
        <v/>
      </c>
      <c r="K68" s="6">
        <f>J68+K82+K109</f>
        <v/>
      </c>
      <c r="L68" s="6">
        <f>K68+L82+L109</f>
        <v/>
      </c>
      <c r="M68" s="6" t="n"/>
    </row>
    <row r="69">
      <c r="A69" t="inlineStr">
        <is>
          <t>Retained earnings</t>
        </is>
      </c>
      <c r="C69" s="6">
        <f>'BS 2026'!G57</f>
        <v/>
      </c>
      <c r="D69" s="6">
        <f>'BS 2026'!F57</f>
        <v/>
      </c>
      <c r="E69" s="6">
        <f>'BS 2026'!E57</f>
        <v/>
      </c>
      <c r="F69" s="6">
        <f>'BS 2026'!D57</f>
        <v/>
      </c>
      <c r="G69" s="6">
        <f>'BS 2026'!C57</f>
        <v/>
      </c>
      <c r="H69" s="6">
        <f>G69+H27+H112</f>
        <v/>
      </c>
      <c r="I69" s="6">
        <f>H69+I27+I112</f>
        <v/>
      </c>
      <c r="J69" s="6">
        <f>I69+J27+J112</f>
        <v/>
      </c>
      <c r="K69" s="6">
        <f>J69+K27+K112</f>
        <v/>
      </c>
      <c r="L69" s="6">
        <f>K69+L27+L112</f>
        <v/>
      </c>
    </row>
    <row r="70">
      <c r="A70" t="inlineStr">
        <is>
          <t>Accumulated other comprehensive income (loss)</t>
        </is>
      </c>
      <c r="C70" s="6">
        <f>'BS 2026'!G56</f>
        <v/>
      </c>
      <c r="D70" s="6">
        <f>'BS 2026'!F56</f>
        <v/>
      </c>
      <c r="E70" s="6">
        <f>'BS 2026'!E56</f>
        <v/>
      </c>
      <c r="F70" s="6">
        <f>'BS 2026'!D56</f>
        <v/>
      </c>
      <c r="G70" s="6">
        <f>'BS 2026'!C56</f>
        <v/>
      </c>
      <c r="H70" s="6">
        <f>G70</f>
        <v/>
      </c>
      <c r="I70" s="6">
        <f>H70</f>
        <v/>
      </c>
      <c r="J70" s="6">
        <f>I70</f>
        <v/>
      </c>
      <c r="K70" s="6">
        <f>J70</f>
        <v/>
      </c>
      <c r="L70" s="6">
        <f>K70</f>
        <v/>
      </c>
    </row>
    <row r="71">
      <c r="A71" t="inlineStr">
        <is>
          <t>Treasury stock, at cost</t>
        </is>
      </c>
      <c r="C71" s="6" t="n"/>
      <c r="D71" s="6">
        <f>'BS 2026'!F54</f>
        <v/>
      </c>
      <c r="E71" s="6">
        <f>'BS 2026'!E54</f>
        <v/>
      </c>
      <c r="F71" s="6">
        <f>'BS 2026'!D54</f>
        <v/>
      </c>
      <c r="G71" s="6">
        <f>'BS 2026'!C54</f>
        <v/>
      </c>
      <c r="H71" s="6">
        <f>G71+H106</f>
        <v/>
      </c>
      <c r="I71" s="6">
        <f>H71+I106</f>
        <v/>
      </c>
      <c r="J71" s="6">
        <f>I71+J106</f>
        <v/>
      </c>
      <c r="K71" s="6">
        <f>J71+K106</f>
        <v/>
      </c>
      <c r="L71" s="6">
        <f>K71+L106</f>
        <v/>
      </c>
    </row>
    <row r="72">
      <c r="A72" t="inlineStr">
        <is>
          <t>Total Equity</t>
        </is>
      </c>
      <c r="C72" s="6">
        <f>SUM(C67:C71)</f>
        <v/>
      </c>
      <c r="D72" s="6">
        <f>SUM(D67:D71)</f>
        <v/>
      </c>
      <c r="E72" s="6">
        <f>SUM(E67:E71)</f>
        <v/>
      </c>
      <c r="F72" s="6">
        <f>SUM(F67:F71)</f>
        <v/>
      </c>
      <c r="G72" s="6">
        <f>SUM(G67:G71)</f>
        <v/>
      </c>
      <c r="H72" s="6">
        <f>SUM(H67:H71)</f>
        <v/>
      </c>
      <c r="I72" s="6">
        <f>SUM(I67:I71)</f>
        <v/>
      </c>
      <c r="J72" s="6">
        <f>SUM(J67:J71)</f>
        <v/>
      </c>
      <c r="K72" s="6">
        <f>SUM(K67:K71)</f>
        <v/>
      </c>
      <c r="L72" s="6">
        <f>SUM(L67:L71)</f>
        <v/>
      </c>
    </row>
    <row r="73">
      <c r="A73" t="inlineStr">
        <is>
          <t>Total Liabilities &amp; Equity</t>
        </is>
      </c>
      <c r="C73" s="10">
        <f>C72+C65</f>
        <v/>
      </c>
      <c r="D73" s="10">
        <f>D72+D65</f>
        <v/>
      </c>
      <c r="E73" s="10">
        <f>E72+E65</f>
        <v/>
      </c>
      <c r="F73" s="10">
        <f>F72+F65</f>
        <v/>
      </c>
      <c r="G73" s="10">
        <f>G72+G65</f>
        <v/>
      </c>
      <c r="H73" s="10">
        <f>H72+H65</f>
        <v/>
      </c>
      <c r="I73" s="10">
        <f>I72+I65</f>
        <v/>
      </c>
      <c r="J73" s="10">
        <f>J72+J65</f>
        <v/>
      </c>
      <c r="K73" s="10">
        <f>K72+K65</f>
        <v/>
      </c>
      <c r="L73" s="10">
        <f>L72+L65</f>
        <v/>
      </c>
    </row>
    <row r="74">
      <c r="A74" t="inlineStr">
        <is>
          <t>Check</t>
        </is>
      </c>
      <c r="C74" s="6" t="n"/>
      <c r="D74" s="6" t="n"/>
      <c r="E74" s="6" t="n"/>
      <c r="F74" s="6" t="n"/>
      <c r="G74" s="6" t="n"/>
      <c r="H74" s="6">
        <f>H73-H51</f>
        <v/>
      </c>
      <c r="I74" s="6">
        <f>I73-I51</f>
        <v/>
      </c>
      <c r="J74" s="6">
        <f>J73-J51</f>
        <v/>
      </c>
      <c r="K74" s="6">
        <f>K73-K51</f>
        <v/>
      </c>
      <c r="L74" s="6">
        <f>L73-L51</f>
        <v/>
      </c>
    </row>
    <row r="75">
      <c r="A75" t="inlineStr">
        <is>
          <t>Funding Gap</t>
        </is>
      </c>
      <c r="C75" s="6" t="n"/>
      <c r="D75" s="6" t="n"/>
      <c r="E75" s="6" t="n"/>
      <c r="F75" s="6" t="n"/>
      <c r="G75" s="6" t="n"/>
      <c r="H75" s="6">
        <f>(H33+H35+H37+H38+H43+H44+H45+H46+H47+H48+H49) - (H54+H56+H60+H61+H63+H67+H68+H69+H70+H71)</f>
        <v/>
      </c>
      <c r="I75" s="6">
        <f>(I33+I35+I37+I38+I43+I44+I45+I46+I47+I48+I49) - (I54+I56+I60+I61+I63+I67+I68+I69+I70+I71)</f>
        <v/>
      </c>
      <c r="J75" s="6">
        <f>(J33+J35+J37+J38+J43+J44+J45+J46+J47+J48+J49) - (J54+J56+J60+J61+J63+J67+J68+J69+J70+J71)</f>
        <v/>
      </c>
      <c r="K75" s="6">
        <f>(K33+K35+K37+K38+K43+K44+K45+K46+K47+K48+K49) - (K54+K56+K60+K61+K63+K67+K68+K69+K70+K71)</f>
        <v/>
      </c>
      <c r="L75" s="6">
        <f>(L33+L35+L37+L38+L43+L44+L45+L46+L47+L48+L49) - (L54+L56+L60+L61+L63+L67+L68+L69+L70+L71)</f>
        <v/>
      </c>
    </row>
    <row r="76">
      <c r="C76" s="6" t="n"/>
    </row>
    <row r="77">
      <c r="A77" t="inlineStr">
        <is>
          <t>Cashflow statement</t>
        </is>
      </c>
    </row>
    <row r="78">
      <c r="A78" t="inlineStr">
        <is>
          <t>Operating activities:</t>
        </is>
      </c>
    </row>
    <row r="79">
      <c r="A79" t="inlineStr">
        <is>
          <t>Net Income</t>
        </is>
      </c>
      <c r="C79">
        <f>'CF26'!G16</f>
        <v/>
      </c>
      <c r="D79">
        <f>'CF26'!F16</f>
        <v/>
      </c>
      <c r="E79">
        <f>'CF26'!E16</f>
        <v/>
      </c>
      <c r="F79">
        <f>'CF26'!D16</f>
        <v/>
      </c>
      <c r="G79">
        <f>'CF26'!C16</f>
        <v/>
      </c>
      <c r="H79" s="6">
        <f>H27</f>
        <v/>
      </c>
      <c r="I79" s="6">
        <f>I27</f>
        <v/>
      </c>
      <c r="J79" s="6">
        <f>J27</f>
        <v/>
      </c>
      <c r="K79" s="6">
        <f>K27</f>
        <v/>
      </c>
      <c r="L79" s="6">
        <f>L27</f>
        <v/>
      </c>
    </row>
    <row r="80">
      <c r="A80" t="inlineStr">
        <is>
          <t>Depreciation &amp; amortisation</t>
        </is>
      </c>
      <c r="C80" s="6">
        <f>'CF26'!G19</f>
        <v/>
      </c>
      <c r="D80" s="6">
        <f>'CF26'!F19</f>
        <v/>
      </c>
      <c r="E80" s="6">
        <f>'CF26'!E19</f>
        <v/>
      </c>
      <c r="F80" s="6">
        <f>'CF26'!D19</f>
        <v/>
      </c>
      <c r="G80" s="6">
        <f>'CF26'!C19</f>
        <v/>
      </c>
      <c r="H80" s="8">
        <f>H4*Assumptions!B26</f>
        <v/>
      </c>
      <c r="I80" s="8">
        <f>I4*Assumptions!C26</f>
        <v/>
      </c>
      <c r="J80" s="8">
        <f>J4*Assumptions!D26</f>
        <v/>
      </c>
      <c r="K80" s="8">
        <f>K4*Assumptions!E26</f>
        <v/>
      </c>
      <c r="L80" s="8">
        <f>L4*Assumptions!F26</f>
        <v/>
      </c>
    </row>
    <row r="81">
      <c r="A81" t="inlineStr">
        <is>
          <t xml:space="preserve">Amortization of costs capitalized to obtain revenue contracts, net   </t>
        </is>
      </c>
      <c r="C81" s="6">
        <f>'CF26'!G21</f>
        <v/>
      </c>
      <c r="D81" s="6">
        <f>'CF26'!F21</f>
        <v/>
      </c>
      <c r="E81" s="6">
        <f>'CF26'!E21</f>
        <v/>
      </c>
      <c r="F81" s="6">
        <f>'CF26'!D21</f>
        <v/>
      </c>
      <c r="G81" s="6">
        <f>'CF26'!C21</f>
        <v/>
      </c>
      <c r="H81" s="8">
        <f>H4*$H$147</f>
        <v/>
      </c>
      <c r="I81" s="8">
        <f>I4*$H$147</f>
        <v/>
      </c>
      <c r="J81" s="8">
        <f>J4*$H$147</f>
        <v/>
      </c>
      <c r="K81" s="8">
        <f>K4*$H$147</f>
        <v/>
      </c>
      <c r="L81" s="8">
        <f>L4*$H$147</f>
        <v/>
      </c>
    </row>
    <row r="82">
      <c r="A82" t="inlineStr">
        <is>
          <t>Stock-based compensation expense</t>
        </is>
      </c>
      <c r="C82" s="6">
        <f>'CF26'!G22</f>
        <v/>
      </c>
      <c r="D82" s="6">
        <f>'CF26'!F22</f>
        <v/>
      </c>
      <c r="E82" s="6">
        <f>'CF26'!E22</f>
        <v/>
      </c>
      <c r="F82" s="6">
        <f>'CF26'!D22</f>
        <v/>
      </c>
      <c r="G82" s="6">
        <f>'CF26'!C22</f>
        <v/>
      </c>
      <c r="H82" s="8">
        <f>H4*$H$149</f>
        <v/>
      </c>
      <c r="I82" s="8">
        <f>I4*$H$149</f>
        <v/>
      </c>
      <c r="J82" s="8">
        <f>J4*$H$149</f>
        <v/>
      </c>
      <c r="K82" s="8">
        <f>K4*$H$149</f>
        <v/>
      </c>
      <c r="L82" s="8">
        <f>L4*$H$149</f>
        <v/>
      </c>
    </row>
    <row r="83">
      <c r="A83" t="inlineStr">
        <is>
          <t>(Gains) losses on strategic investments, net</t>
        </is>
      </c>
      <c r="C83" s="6">
        <f>'CF26'!G24</f>
        <v/>
      </c>
      <c r="D83" s="6">
        <f>'CF26'!F24</f>
        <v/>
      </c>
      <c r="E83" s="6">
        <f>'CF26'!E24</f>
        <v/>
      </c>
      <c r="F83" s="6">
        <f>'CF26'!D24</f>
        <v/>
      </c>
      <c r="G83" s="6">
        <f>'CF26'!C24</f>
        <v/>
      </c>
      <c r="H83" s="6">
        <f>H22</f>
        <v/>
      </c>
      <c r="I83" s="6">
        <f>I22</f>
        <v/>
      </c>
      <c r="J83" s="6">
        <f>J22</f>
        <v/>
      </c>
      <c r="K83" s="6">
        <f>K22</f>
        <v/>
      </c>
      <c r="L83" s="6">
        <f>L22</f>
        <v/>
      </c>
    </row>
    <row r="84">
      <c r="A84" t="inlineStr">
        <is>
          <t>Changes in working capital</t>
        </is>
      </c>
    </row>
    <row r="85">
      <c r="A85" t="inlineStr">
        <is>
          <t>Ac/cs receivable, net</t>
        </is>
      </c>
      <c r="C85" s="6">
        <f>'CF26'!G28</f>
        <v/>
      </c>
      <c r="D85" s="6">
        <f>'CF26'!F28</f>
        <v/>
      </c>
      <c r="E85" s="6">
        <f>'CF26'!E28</f>
        <v/>
      </c>
      <c r="F85" s="6">
        <f>'CF26'!D28</f>
        <v/>
      </c>
      <c r="G85" s="6">
        <f>'CF26'!C28</f>
        <v/>
      </c>
      <c r="H85" s="6">
        <f>-(H35-G35)</f>
        <v/>
      </c>
      <c r="I85" s="6">
        <f>-(I35-H35)</f>
        <v/>
      </c>
      <c r="J85" s="6">
        <f>-(J35-I35)</f>
        <v/>
      </c>
      <c r="K85" s="6">
        <f>-(K35-J35)</f>
        <v/>
      </c>
      <c r="L85" s="6">
        <f>-(L35-K35)</f>
        <v/>
      </c>
    </row>
    <row r="86">
      <c r="A86" t="inlineStr">
        <is>
          <t>Costs capitalized to obtain revenue contracts, net</t>
        </is>
      </c>
      <c r="C86" s="6">
        <f>'CF26'!G29</f>
        <v/>
      </c>
      <c r="D86" s="6">
        <f>'CF26'!F29</f>
        <v/>
      </c>
      <c r="E86" s="6">
        <f>'CF26'!E29</f>
        <v/>
      </c>
      <c r="F86" s="6">
        <f>'CF26'!D29</f>
        <v/>
      </c>
      <c r="G86" s="6">
        <f>'CF26'!C29</f>
        <v/>
      </c>
      <c r="H86" s="6">
        <f>G47-H47</f>
        <v/>
      </c>
      <c r="I86" s="6">
        <f>H47-I47</f>
        <v/>
      </c>
      <c r="J86" s="6">
        <f>I47-J47</f>
        <v/>
      </c>
      <c r="K86" s="6">
        <f>J47-K47</f>
        <v/>
      </c>
      <c r="L86" s="6">
        <f>K47-L47</f>
        <v/>
      </c>
      <c r="M86" s="2" t="n"/>
    </row>
    <row r="87">
      <c r="A87" t="inlineStr">
        <is>
          <t>Prepaid expenses and other current assets and other assets</t>
        </is>
      </c>
      <c r="C87" s="6">
        <f>'CF26'!G30</f>
        <v/>
      </c>
      <c r="D87" s="6">
        <f>'CF26'!F30</f>
        <v/>
      </c>
      <c r="E87" s="6">
        <f>'CF26'!E30</f>
        <v/>
      </c>
      <c r="F87" s="6">
        <f>'CF26'!D30</f>
        <v/>
      </c>
      <c r="G87" s="6">
        <f>'CF26'!C30</f>
        <v/>
      </c>
      <c r="H87" s="6">
        <f>G37-H37+(G38-H38)</f>
        <v/>
      </c>
      <c r="I87" s="6">
        <f>H37-I37+(H38-I38)</f>
        <v/>
      </c>
      <c r="J87" s="6">
        <f>I37-J37+(I38-J38)</f>
        <v/>
      </c>
      <c r="K87" s="6">
        <f>J37-K37+(J38-K38)</f>
        <v/>
      </c>
      <c r="L87" s="6">
        <f>K37-L37+(K38-L38)</f>
        <v/>
      </c>
      <c r="M87" s="4" t="n"/>
    </row>
    <row r="88">
      <c r="A88" t="inlineStr">
        <is>
          <t>Accounts payable</t>
        </is>
      </c>
      <c r="C88" s="6">
        <f>'CF26'!G32</f>
        <v/>
      </c>
      <c r="D88" s="6">
        <f>'CF26'!F32</f>
        <v/>
      </c>
      <c r="E88" s="6">
        <f>'CF26'!E32</f>
        <v/>
      </c>
      <c r="F88" s="6">
        <f>'CF26'!D32</f>
        <v/>
      </c>
      <c r="G88" s="6">
        <f>'CF26'!C32</f>
        <v/>
      </c>
      <c r="H88" s="6">
        <f>H54-G54</f>
        <v/>
      </c>
      <c r="I88" s="6">
        <f>I54-H54</f>
        <v/>
      </c>
      <c r="J88" s="6">
        <f>J54-I54</f>
        <v/>
      </c>
      <c r="K88" s="6">
        <f>K54-J54</f>
        <v/>
      </c>
      <c r="L88" s="6">
        <f>L54-K54</f>
        <v/>
      </c>
      <c r="M88" s="2" t="n"/>
    </row>
    <row r="89">
      <c r="A89" t="inlineStr">
        <is>
          <t>Operating lease liabilities</t>
        </is>
      </c>
      <c r="C89" s="6">
        <f>'CF26'!G33</f>
        <v/>
      </c>
      <c r="D89" s="6">
        <f>'CF26'!F33</f>
        <v/>
      </c>
      <c r="E89" s="6">
        <f>'CF26'!E33</f>
        <v/>
      </c>
      <c r="F89" s="6">
        <f>'CF26'!D33</f>
        <v/>
      </c>
      <c r="G89" s="6">
        <f>'CF26'!C33</f>
        <v/>
      </c>
      <c r="H89" s="6">
        <f>H61-G61</f>
        <v/>
      </c>
      <c r="I89" s="6">
        <f>I61-H61</f>
        <v/>
      </c>
      <c r="J89" s="6">
        <f>J61-I61</f>
        <v/>
      </c>
      <c r="K89" s="6">
        <f>K61-J61</f>
        <v/>
      </c>
      <c r="L89" s="6">
        <f>L61-K61</f>
        <v/>
      </c>
      <c r="M89" s="2" t="n"/>
    </row>
    <row r="90">
      <c r="A90" t="inlineStr">
        <is>
          <t>Unearned Revenue</t>
        </is>
      </c>
      <c r="C90" s="6">
        <f>'CF26'!G34</f>
        <v/>
      </c>
      <c r="D90" s="6">
        <f>'CF26'!F34</f>
        <v/>
      </c>
      <c r="E90" s="6">
        <f>'CF26'!E34</f>
        <v/>
      </c>
      <c r="F90" s="6">
        <f>'CF26'!D34</f>
        <v/>
      </c>
      <c r="G90" s="6">
        <f>'CF26'!C34</f>
        <v/>
      </c>
      <c r="H90" s="6">
        <f>H56-G56</f>
        <v/>
      </c>
      <c r="I90" s="6">
        <f>I56-H56</f>
        <v/>
      </c>
      <c r="J90" s="6">
        <f>J56-I56</f>
        <v/>
      </c>
      <c r="K90" s="6">
        <f>K56-J56</f>
        <v/>
      </c>
      <c r="L90" s="6">
        <f>L56-K56</f>
        <v/>
      </c>
      <c r="M90" s="2" t="n"/>
    </row>
    <row r="91">
      <c r="A91" t="inlineStr">
        <is>
          <t>CF from operating activities</t>
        </is>
      </c>
      <c r="C91" s="17">
        <f>SUM(C79:C90)</f>
        <v/>
      </c>
      <c r="D91" s="17">
        <f>SUM(D79:D90)</f>
        <v/>
      </c>
      <c r="E91" s="17">
        <f>SUM(E79:E90)</f>
        <v/>
      </c>
      <c r="F91" s="17">
        <f>SUM(F79:F90)</f>
        <v/>
      </c>
      <c r="G91" s="17">
        <f>SUM(G79:G90)</f>
        <v/>
      </c>
      <c r="H91" s="17">
        <f>SUM(H79:H90)</f>
        <v/>
      </c>
      <c r="I91" s="17">
        <f>SUM(I79:I90)</f>
        <v/>
      </c>
      <c r="J91" s="17">
        <f>SUM(J79:J90)</f>
        <v/>
      </c>
      <c r="K91" s="17">
        <f>SUM(K79:K90)</f>
        <v/>
      </c>
      <c r="L91" s="17">
        <f>SUM(L79:L90)</f>
        <v/>
      </c>
      <c r="M91" s="4" t="n"/>
    </row>
    <row r="93">
      <c r="A93" t="inlineStr">
        <is>
          <t>Investing activities</t>
        </is>
      </c>
    </row>
    <row r="94">
      <c r="A94" t="inlineStr">
        <is>
          <t>Business combinations, net of cash acquired</t>
        </is>
      </c>
      <c r="C94" s="6">
        <f>'CF26'!G37</f>
        <v/>
      </c>
      <c r="D94" s="6">
        <f>'CF26'!F37</f>
        <v/>
      </c>
      <c r="E94" s="6">
        <f>'CF26'!E37</f>
        <v/>
      </c>
      <c r="F94" s="6">
        <f>'CF26'!D37</f>
        <v/>
      </c>
      <c r="G94" s="6">
        <f>'CF26'!C37</f>
        <v/>
      </c>
      <c r="H94" s="6">
        <f>G94/G4*H4</f>
        <v/>
      </c>
      <c r="I94" s="6">
        <f>H94/H4*I4</f>
        <v/>
      </c>
      <c r="J94" s="6">
        <f>I94/I4*J4</f>
        <v/>
      </c>
      <c r="K94" s="6">
        <f>J94/J4*K4</f>
        <v/>
      </c>
      <c r="L94" s="6">
        <f>K94/K4*L4</f>
        <v/>
      </c>
    </row>
    <row r="95">
      <c r="A95" t="inlineStr">
        <is>
          <t>Purchases of strategic investments</t>
        </is>
      </c>
      <c r="C95" s="6">
        <f>'CF26'!G38</f>
        <v/>
      </c>
      <c r="D95" s="6">
        <f>'CF26'!F38</f>
        <v/>
      </c>
      <c r="E95" s="6">
        <f>'CF26'!E38</f>
        <v/>
      </c>
      <c r="F95" s="6">
        <f>'CF26'!D38</f>
        <v/>
      </c>
      <c r="G95" s="6">
        <f>'CF26'!C38</f>
        <v/>
      </c>
      <c r="H95" s="6">
        <f>MIN(0,H48-G48)</f>
        <v/>
      </c>
      <c r="I95" s="6">
        <f>MIN(0,I48-H48)</f>
        <v/>
      </c>
      <c r="J95" s="6">
        <f>MIN(0,J48-I48)</f>
        <v/>
      </c>
      <c r="K95" s="6">
        <f>MIN(0,K48-J48)</f>
        <v/>
      </c>
      <c r="L95" s="6">
        <f>MIN(0,L48-K48)</f>
        <v/>
      </c>
    </row>
    <row r="96">
      <c r="A96" t="inlineStr">
        <is>
          <t>Sales of strategic investments</t>
        </is>
      </c>
      <c r="C96" s="6">
        <f>'CF26'!G39</f>
        <v/>
      </c>
      <c r="D96" s="6">
        <f>'CF26'!F39</f>
        <v/>
      </c>
      <c r="E96" s="6">
        <f>'CF26'!E39</f>
        <v/>
      </c>
      <c r="F96" s="6">
        <f>'CF26'!D39</f>
        <v/>
      </c>
      <c r="G96" s="6">
        <f>'CF26'!C39</f>
        <v/>
      </c>
      <c r="H96" s="6">
        <f>MAX(0,H48-G48)</f>
        <v/>
      </c>
      <c r="I96" s="6">
        <f>MAX(0,I48-H48)</f>
        <v/>
      </c>
      <c r="J96" s="6">
        <f>MAX(0,J48-I48)</f>
        <v/>
      </c>
      <c r="K96" s="6">
        <f>MAX(0,K48-J48)</f>
        <v/>
      </c>
      <c r="L96" s="6">
        <f>MAX(0,L48-K48)</f>
        <v/>
      </c>
    </row>
    <row r="97">
      <c r="A97" t="inlineStr">
        <is>
          <t>Purchases of marketable securities</t>
        </is>
      </c>
      <c r="C97" s="6">
        <f>'CF26'!G40</f>
        <v/>
      </c>
      <c r="D97" s="6">
        <f>'CF26'!F40</f>
        <v/>
      </c>
      <c r="E97" s="6">
        <f>'CF26'!E40</f>
        <v/>
      </c>
      <c r="F97" s="6">
        <f>'CF26'!D40</f>
        <v/>
      </c>
      <c r="G97" s="6">
        <f>'CF26'!C40</f>
        <v/>
      </c>
      <c r="H97" s="6">
        <f>AVERAGE(C97:G97)</f>
        <v/>
      </c>
      <c r="I97" s="6">
        <f>AVERAGE(D97:H97)</f>
        <v/>
      </c>
      <c r="J97" s="6">
        <f>AVERAGE(E97:I97)</f>
        <v/>
      </c>
      <c r="K97" s="6">
        <f>AVERAGE(F97:J97)</f>
        <v/>
      </c>
      <c r="L97" s="6">
        <f>AVERAGE(G97:K97)</f>
        <v/>
      </c>
    </row>
    <row r="98">
      <c r="A98" t="inlineStr">
        <is>
          <t>Sales of marketable securities</t>
        </is>
      </c>
      <c r="C98" s="6">
        <f>'CF26'!G41</f>
        <v/>
      </c>
      <c r="D98" s="6">
        <f>'CF26'!F41</f>
        <v/>
      </c>
      <c r="E98" s="6">
        <f>'CF26'!E41</f>
        <v/>
      </c>
      <c r="F98" s="6">
        <f>'CF26'!D41</f>
        <v/>
      </c>
      <c r="G98" s="6">
        <f>'CF26'!C41</f>
        <v/>
      </c>
      <c r="H98" s="6">
        <f>AVERAGE(C98:G98)</f>
        <v/>
      </c>
      <c r="I98" s="6">
        <f>AVERAGE(D98:H98)</f>
        <v/>
      </c>
      <c r="J98" s="6">
        <f>AVERAGE(E98:I98)</f>
        <v/>
      </c>
      <c r="K98" s="6">
        <f>AVERAGE(F98:J98)</f>
        <v/>
      </c>
      <c r="L98" s="6">
        <f>AVERAGE(G98:K98)</f>
        <v/>
      </c>
    </row>
    <row r="99">
      <c r="A99" t="inlineStr">
        <is>
          <t>Maturities of marketable securities</t>
        </is>
      </c>
      <c r="C99" s="6">
        <f>'CF26'!G42</f>
        <v/>
      </c>
      <c r="D99" s="6">
        <f>'CF26'!F42</f>
        <v/>
      </c>
      <c r="E99" s="6">
        <f>'CF26'!E42</f>
        <v/>
      </c>
      <c r="F99" s="6">
        <f>'CF26'!D42</f>
        <v/>
      </c>
      <c r="G99" s="6">
        <f>'CF26'!C42</f>
        <v/>
      </c>
      <c r="H99" s="6">
        <f>AVERAGE(C99:G99)</f>
        <v/>
      </c>
      <c r="I99" s="6">
        <f>AVERAGE(D99:H99)</f>
        <v/>
      </c>
      <c r="J99" s="6">
        <f>AVERAGE(E99:I99)</f>
        <v/>
      </c>
      <c r="K99" s="6">
        <f>AVERAGE(F99:J99)</f>
        <v/>
      </c>
      <c r="L99" s="6">
        <f>AVERAGE(G99:K99)</f>
        <v/>
      </c>
    </row>
    <row r="100">
      <c r="A100" t="inlineStr">
        <is>
          <t>Capex</t>
        </is>
      </c>
      <c r="C100" s="6">
        <f>'CF26'!G43</f>
        <v/>
      </c>
      <c r="D100" s="6">
        <f>'CF26'!F43</f>
        <v/>
      </c>
      <c r="E100" s="6">
        <f>'CF26'!E43</f>
        <v/>
      </c>
      <c r="F100" s="6">
        <f>'CF26'!D43</f>
        <v/>
      </c>
      <c r="G100" s="6">
        <f>'CF26'!C43</f>
        <v/>
      </c>
      <c r="H100" s="6">
        <f>Assumptions!B28*Forecasting!H4</f>
        <v/>
      </c>
      <c r="I100" s="6">
        <f>Assumptions!C28*Forecasting!I4</f>
        <v/>
      </c>
      <c r="J100" s="6">
        <f>Assumptions!D28*Forecasting!J4</f>
        <v/>
      </c>
      <c r="K100" s="6">
        <f>Assumptions!E28*Forecasting!K4</f>
        <v/>
      </c>
      <c r="L100" s="6">
        <f>Assumptions!F28*Forecasting!L4</f>
        <v/>
      </c>
    </row>
    <row r="101">
      <c r="A101" t="inlineStr">
        <is>
          <t>CF from investing activities</t>
        </is>
      </c>
      <c r="C101" s="10">
        <f>SUM(C94:C100)</f>
        <v/>
      </c>
      <c r="D101" s="10">
        <f>SUM(D94:D100)</f>
        <v/>
      </c>
      <c r="E101" s="10">
        <f>SUM(E94:E100)</f>
        <v/>
      </c>
      <c r="F101" s="10">
        <f>SUM(F94:F100)</f>
        <v/>
      </c>
      <c r="G101" s="10">
        <f>SUM(G94:G100)</f>
        <v/>
      </c>
      <c r="H101" s="10">
        <f>SUM(H94:H100)</f>
        <v/>
      </c>
      <c r="I101" s="10">
        <f>SUM(I94:I100)</f>
        <v/>
      </c>
      <c r="J101" s="10">
        <f>SUM(J94:J100)</f>
        <v/>
      </c>
      <c r="K101" s="10">
        <f>SUM(K94:K100)</f>
        <v/>
      </c>
      <c r="L101" s="10">
        <f>SUM(L94:L100)</f>
        <v/>
      </c>
    </row>
    <row r="103">
      <c r="A103" t="inlineStr">
        <is>
          <t>Financing Activities</t>
        </is>
      </c>
    </row>
    <row r="104">
      <c r="A104" t="inlineStr">
        <is>
          <t>Proceeds from Debt issuance</t>
        </is>
      </c>
      <c r="C104" s="6">
        <f>'CF26'!G46</f>
        <v/>
      </c>
      <c r="D104" s="6">
        <f>'CF26'!F46</f>
        <v/>
      </c>
      <c r="E104" s="6">
        <f>'CF26'!E46</f>
        <v/>
      </c>
      <c r="F104" s="6">
        <f>'CF26'!D46</f>
        <v/>
      </c>
      <c r="G104" s="6">
        <f>'CF26'!C46</f>
        <v/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s="4" t="n"/>
    </row>
    <row r="105">
      <c r="M105" s="2" t="n"/>
    </row>
    <row r="106">
      <c r="A106" t="inlineStr">
        <is>
          <t>Repurchases of common stock</t>
        </is>
      </c>
      <c r="C106" s="6">
        <f>'CF26'!G49</f>
        <v/>
      </c>
      <c r="D106" s="6">
        <f>'CF26'!F49</f>
        <v/>
      </c>
      <c r="E106" s="6">
        <f>'CF26'!E49</f>
        <v/>
      </c>
      <c r="F106" s="6">
        <f>'CF26'!D49</f>
        <v/>
      </c>
      <c r="G106" s="6">
        <f>'CF26'!C49</f>
        <v/>
      </c>
      <c r="H106" s="6">
        <f>AVERAGE(C106:G106)</f>
        <v/>
      </c>
      <c r="I106" s="6">
        <f>AVERAGE(D106:H106)</f>
        <v/>
      </c>
      <c r="J106" s="6">
        <f>AVERAGE(E106:I106)</f>
        <v/>
      </c>
      <c r="K106" s="6">
        <f>AVERAGE(F106:J106)</f>
        <v/>
      </c>
      <c r="L106" s="6">
        <f>AVERAGE(G106:K106)</f>
        <v/>
      </c>
      <c r="M106" s="4" t="n"/>
    </row>
    <row r="107">
      <c r="A107" t="inlineStr">
        <is>
          <t>Repayments of Slack Convertible Notes, net of capped call proceeds</t>
        </is>
      </c>
      <c r="C107" s="6">
        <f>'CF26'!G48</f>
        <v/>
      </c>
      <c r="D107" s="6">
        <f>'CF26'!F48</f>
        <v/>
      </c>
      <c r="E107" s="6">
        <f>'CF26'!E48</f>
        <v/>
      </c>
      <c r="F107" s="6">
        <f>'CF26'!D48</f>
        <v/>
      </c>
      <c r="G107" s="6">
        <f>'CF26'!C48</f>
        <v/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s="4" t="n"/>
    </row>
    <row r="108">
      <c r="A108" t="inlineStr">
        <is>
          <t>Payments for taxes related to net share settlement of equity awards</t>
        </is>
      </c>
      <c r="C108" s="6">
        <f>'CF26'!G51</f>
        <v/>
      </c>
      <c r="D108" s="6">
        <f>'CF26'!F51</f>
        <v/>
      </c>
      <c r="E108" s="6">
        <f>'CF26'!E51</f>
        <v/>
      </c>
      <c r="F108" s="6">
        <f>'CF26'!D51</f>
        <v/>
      </c>
      <c r="G108" s="6">
        <f>'CF26'!C51</f>
        <v/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</row>
    <row r="109">
      <c r="A109" t="inlineStr">
        <is>
          <t>Proceeds from employee stock plans</t>
        </is>
      </c>
      <c r="C109" s="6">
        <f>'CF26'!G52</f>
        <v/>
      </c>
      <c r="D109" s="6">
        <f>'CF26'!F52</f>
        <v/>
      </c>
      <c r="E109" s="6">
        <f>'CF26'!E52</f>
        <v/>
      </c>
      <c r="F109" s="6">
        <f>'CF26'!D52</f>
        <v/>
      </c>
      <c r="G109" s="6">
        <f>'CF26'!C52</f>
        <v/>
      </c>
      <c r="H109" s="6">
        <f>$H$151*H4</f>
        <v/>
      </c>
      <c r="I109" s="6">
        <f>$H$151*I4</f>
        <v/>
      </c>
      <c r="J109" s="6">
        <f>$H$151*J4</f>
        <v/>
      </c>
      <c r="K109" s="6">
        <f>$H$151*K4</f>
        <v/>
      </c>
      <c r="L109" s="6">
        <f>$H$151*L4</f>
        <v/>
      </c>
    </row>
    <row r="110">
      <c r="A110" t="inlineStr">
        <is>
          <t>Principal payments on financing obligations</t>
        </is>
      </c>
      <c r="C110" s="6">
        <f>'CF26'!G53</f>
        <v/>
      </c>
      <c r="D110" s="6">
        <f>'CF26'!F53</f>
        <v/>
      </c>
      <c r="E110" s="6">
        <f>'CF26'!E53</f>
        <v/>
      </c>
      <c r="F110" s="6">
        <f>'CF26'!D53</f>
        <v/>
      </c>
      <c r="G110" s="6">
        <f>'CF26'!C53</f>
        <v/>
      </c>
      <c r="H110" s="6">
        <f>G110</f>
        <v/>
      </c>
      <c r="I110" s="6">
        <f>H110</f>
        <v/>
      </c>
      <c r="J110" s="6">
        <f>I110</f>
        <v/>
      </c>
      <c r="K110" s="6">
        <f>J110</f>
        <v/>
      </c>
      <c r="L110" s="6">
        <f>K110</f>
        <v/>
      </c>
      <c r="M110" s="4" t="n"/>
    </row>
    <row r="111">
      <c r="A111" t="inlineStr">
        <is>
          <t>Debt repaid</t>
        </is>
      </c>
      <c r="C111" s="6">
        <f>'CF26'!G54</f>
        <v/>
      </c>
      <c r="D111" s="6">
        <f>'CF26'!F54</f>
        <v/>
      </c>
      <c r="E111" s="6">
        <f>'CF26'!E54</f>
        <v/>
      </c>
      <c r="F111" s="6">
        <f>'CF26'!D54</f>
        <v/>
      </c>
      <c r="G111" s="6">
        <f>'CF26'!C54</f>
        <v/>
      </c>
      <c r="H111" s="6">
        <f>AVERAGE(C111:G111)</f>
        <v/>
      </c>
      <c r="I111" s="6">
        <f>AVERAGE(D111:H111)</f>
        <v/>
      </c>
      <c r="J111" s="6">
        <f>AVERAGE(E111:I111)</f>
        <v/>
      </c>
      <c r="K111" s="6">
        <f>AVERAGE(F111:J111)</f>
        <v/>
      </c>
      <c r="L111" s="6">
        <f>AVERAGE(G111:K111)</f>
        <v/>
      </c>
      <c r="M111" s="4" t="n"/>
    </row>
    <row r="112">
      <c r="A112" t="inlineStr">
        <is>
          <t>Dividends paid</t>
        </is>
      </c>
      <c r="C112">
        <f>'CF26'!G55</f>
        <v/>
      </c>
      <c r="D112">
        <f>'CF26'!F55</f>
        <v/>
      </c>
      <c r="E112">
        <f>'CF26'!E55</f>
        <v/>
      </c>
      <c r="F112">
        <f>'CF26'!D55</f>
        <v/>
      </c>
      <c r="G112">
        <f>'CF26'!C55</f>
        <v/>
      </c>
      <c r="H112" s="8">
        <f>G112*(1+0.05)</f>
        <v/>
      </c>
      <c r="I112" s="8">
        <f>H112*(1+0.05)</f>
        <v/>
      </c>
      <c r="J112" s="8">
        <f>I112*(1+0.05)</f>
        <v/>
      </c>
      <c r="K112" s="8">
        <f>J112*(1+0.05)</f>
        <v/>
      </c>
      <c r="L112" s="8">
        <f>K112*(1+0.05)</f>
        <v/>
      </c>
      <c r="M112" s="4" t="n"/>
    </row>
    <row r="113">
      <c r="A113" t="inlineStr">
        <is>
          <t>CF from financing activities</t>
        </is>
      </c>
      <c r="C113" s="10">
        <f>SUM(C104:C112)</f>
        <v/>
      </c>
      <c r="D113" s="10">
        <f>SUM(D104:D112)</f>
        <v/>
      </c>
      <c r="E113" s="10">
        <f>SUM(E104:E112)</f>
        <v/>
      </c>
      <c r="F113" s="10">
        <f>SUM(F104:F112)</f>
        <v/>
      </c>
      <c r="G113" s="10">
        <f>SUM(G104:G112)</f>
        <v/>
      </c>
      <c r="H113" s="10">
        <f>SUM(H104:H112)</f>
        <v/>
      </c>
      <c r="I113" s="10">
        <f>SUM(I104:I112)</f>
        <v/>
      </c>
      <c r="J113" s="10">
        <f>SUM(J104:J112)</f>
        <v/>
      </c>
      <c r="K113" s="10">
        <f>SUM(K104:K112)</f>
        <v/>
      </c>
      <c r="L113" s="10">
        <f>SUM(L104:L112)</f>
        <v/>
      </c>
    </row>
    <row r="114">
      <c r="A114" t="inlineStr">
        <is>
          <t>Effect of exchange rate changes</t>
        </is>
      </c>
      <c r="C114" s="6">
        <f>'CF26'!G57</f>
        <v/>
      </c>
      <c r="D114" s="6">
        <f>'CF26'!F57</f>
        <v/>
      </c>
      <c r="E114" s="6">
        <f>'CF26'!E57</f>
        <v/>
      </c>
      <c r="F114" s="6">
        <f>'CF26'!D57</f>
        <v/>
      </c>
      <c r="G114" s="6">
        <f>'CF26'!C57</f>
        <v/>
      </c>
      <c r="H114" s="8" t="n"/>
      <c r="I114" s="8" t="n"/>
      <c r="J114" s="8" t="n"/>
      <c r="K114" s="8" t="n"/>
      <c r="L114" s="8" t="n"/>
    </row>
    <row r="115">
      <c r="A115" t="inlineStr">
        <is>
          <t>Net change in cash</t>
        </is>
      </c>
      <c r="C115" s="6">
        <f>C113+C101+C91+C114</f>
        <v/>
      </c>
      <c r="D115" s="6">
        <f>D113+D101+D91+D114</f>
        <v/>
      </c>
      <c r="E115" s="6">
        <f>E113+E101+E91+E114</f>
        <v/>
      </c>
      <c r="F115" s="6">
        <f>F113+F101+F91+F114</f>
        <v/>
      </c>
      <c r="G115" s="6">
        <f>G113+G101+G91+G114</f>
        <v/>
      </c>
      <c r="H115" s="6">
        <f>H113+H101+H91+H114</f>
        <v/>
      </c>
      <c r="I115" s="6">
        <f>I113+I101+I91</f>
        <v/>
      </c>
      <c r="J115" s="6">
        <f>J113+J101+J91</f>
        <v/>
      </c>
      <c r="K115" s="6">
        <f>K113+K101+K91</f>
        <v/>
      </c>
      <c r="L115" s="6">
        <f>L113+L101+L91</f>
        <v/>
      </c>
    </row>
    <row r="116">
      <c r="A116" t="inlineStr">
        <is>
          <t>Beginning cash</t>
        </is>
      </c>
      <c r="C116" s="6">
        <f>B33</f>
        <v/>
      </c>
      <c r="D116" s="6">
        <f>C117</f>
        <v/>
      </c>
      <c r="E116" s="6">
        <f>D117</f>
        <v/>
      </c>
      <c r="F116" s="6">
        <f>E117</f>
        <v/>
      </c>
      <c r="G116" s="6">
        <f>F117</f>
        <v/>
      </c>
      <c r="H116" s="6">
        <f>G117</f>
        <v/>
      </c>
      <c r="I116" s="6">
        <f>H117</f>
        <v/>
      </c>
      <c r="J116" s="6">
        <f>I117</f>
        <v/>
      </c>
      <c r="K116" s="6">
        <f>J117</f>
        <v/>
      </c>
      <c r="L116" s="6">
        <f>K117</f>
        <v/>
      </c>
    </row>
    <row r="117">
      <c r="A117" t="inlineStr">
        <is>
          <t>Ending cash</t>
        </is>
      </c>
      <c r="C117" s="6">
        <f>C116+C115</f>
        <v/>
      </c>
      <c r="D117" s="6">
        <f>D116+D115</f>
        <v/>
      </c>
      <c r="E117" s="6">
        <f>E116+E115</f>
        <v/>
      </c>
      <c r="F117" s="6">
        <f>F116+F115</f>
        <v/>
      </c>
      <c r="G117" s="6">
        <f>G116+G115</f>
        <v/>
      </c>
      <c r="H117" s="6">
        <f>H115+H116</f>
        <v/>
      </c>
      <c r="I117" s="6">
        <f>I115+I116</f>
        <v/>
      </c>
      <c r="J117" s="6">
        <f>J115+J116</f>
        <v/>
      </c>
      <c r="K117" s="6">
        <f>K115+K116</f>
        <v/>
      </c>
      <c r="L117" s="6">
        <f>L115+L116</f>
        <v/>
      </c>
    </row>
    <row r="119">
      <c r="A119" t="inlineStr">
        <is>
          <t>Ratios</t>
        </is>
      </c>
    </row>
    <row r="120">
      <c r="A120" t="inlineStr">
        <is>
          <t>Revenue Growth</t>
        </is>
      </c>
      <c r="C120" s="7">
        <f>(C4-B4)/B4</f>
        <v/>
      </c>
      <c r="D120" s="7">
        <f>(D4-C4)/C4</f>
        <v/>
      </c>
      <c r="E120" s="7">
        <f>(E4-D4)/D4</f>
        <v/>
      </c>
      <c r="F120" s="7">
        <f>(F4-E4)/E4</f>
        <v/>
      </c>
      <c r="G120" s="7">
        <f>(G4-F4)/F4</f>
        <v/>
      </c>
      <c r="H120" s="7">
        <f>(H4-G4)/G4</f>
        <v/>
      </c>
      <c r="I120" s="7">
        <f>(I4-H4)/H4</f>
        <v/>
      </c>
      <c r="J120" s="7">
        <f>(J4-I4)/I4</f>
        <v/>
      </c>
      <c r="K120" s="7">
        <f>(K4-J4)/J4</f>
        <v/>
      </c>
      <c r="L120" s="7">
        <f>(L4-K4)/K4</f>
        <v/>
      </c>
    </row>
    <row r="121">
      <c r="A121" t="inlineStr">
        <is>
          <t>COGS % of revenue</t>
        </is>
      </c>
      <c r="C121" s="7">
        <f>C6/C4</f>
        <v/>
      </c>
      <c r="D121" s="7">
        <f>D6/D4</f>
        <v/>
      </c>
      <c r="E121" s="7">
        <f>E6/E4</f>
        <v/>
      </c>
      <c r="F121" s="7">
        <f>F6/F4</f>
        <v/>
      </c>
      <c r="G121" s="7">
        <f>G6/G4</f>
        <v/>
      </c>
      <c r="H121" s="7">
        <f>G121-0.52%</f>
        <v/>
      </c>
      <c r="I121" s="7">
        <f>H121-0.52%</f>
        <v/>
      </c>
      <c r="J121" s="7">
        <f>I121-0.52%</f>
        <v/>
      </c>
      <c r="K121" s="7">
        <f>J121-0.52%</f>
        <v/>
      </c>
      <c r="L121" s="7">
        <f>K121-0.52%</f>
        <v/>
      </c>
    </row>
    <row r="122">
      <c r="A122" t="inlineStr">
        <is>
          <t>R&amp;D % of revenue</t>
        </is>
      </c>
      <c r="C122" s="7">
        <f>C13/C4</f>
        <v/>
      </c>
      <c r="D122" s="7">
        <f>D13/D4</f>
        <v/>
      </c>
      <c r="E122" s="7">
        <f>E13/E4</f>
        <v/>
      </c>
      <c r="F122" s="7">
        <f>F13/F4</f>
        <v/>
      </c>
      <c r="G122" s="7">
        <f>G13/G4</f>
        <v/>
      </c>
      <c r="H122" s="7">
        <f>G122*(1-$C$154)</f>
        <v/>
      </c>
      <c r="I122" s="7">
        <f>H122*(1-$C$154)</f>
        <v/>
      </c>
      <c r="J122" s="7">
        <f>I122*(1-$C$154)</f>
        <v/>
      </c>
      <c r="K122" s="7">
        <f>J122*(1-$C$154)</f>
        <v/>
      </c>
      <c r="L122" s="7">
        <f>K122*(1-$C$154)</f>
        <v/>
      </c>
      <c r="M122" s="16" t="n"/>
    </row>
    <row r="123">
      <c r="A123" t="inlineStr">
        <is>
          <t>Sales &amp; marketing % of revenue</t>
        </is>
      </c>
      <c r="C123" s="7">
        <f>C14/C4</f>
        <v/>
      </c>
      <c r="D123" s="7">
        <f>D14/D4</f>
        <v/>
      </c>
      <c r="E123" s="7">
        <f>E14/E4</f>
        <v/>
      </c>
      <c r="F123" s="7">
        <f>F14/F4</f>
        <v/>
      </c>
      <c r="G123" s="7">
        <f>G14/G4</f>
        <v/>
      </c>
      <c r="H123" s="7">
        <f>G123*(1-$C$154)</f>
        <v/>
      </c>
      <c r="I123" s="7">
        <f>H123*(1-$C$154)</f>
        <v/>
      </c>
      <c r="J123" s="7">
        <f>I123*(1-$C$154)</f>
        <v/>
      </c>
      <c r="K123" s="7">
        <f>J123*(1-$C$154)</f>
        <v/>
      </c>
      <c r="L123" s="7">
        <f>K123*(1-$C$154)</f>
        <v/>
      </c>
      <c r="N123" s="7" t="n"/>
    </row>
    <row r="124">
      <c r="A124" t="inlineStr">
        <is>
          <t>G&amp;A % of revenue</t>
        </is>
      </c>
      <c r="C124" s="7">
        <f>C15/C4</f>
        <v/>
      </c>
      <c r="D124" s="7">
        <f>D15/D4</f>
        <v/>
      </c>
      <c r="E124" s="7">
        <f>E15/E4</f>
        <v/>
      </c>
      <c r="F124" s="7">
        <f>F15/F4</f>
        <v/>
      </c>
      <c r="G124" s="7">
        <f>G15/G4</f>
        <v/>
      </c>
      <c r="H124" s="7">
        <f>G124*(1-$C$154)</f>
        <v/>
      </c>
      <c r="I124" s="7">
        <f>H124*(1-$C$154)</f>
        <v/>
      </c>
      <c r="J124" s="7">
        <f>I124*(1-$C$154)</f>
        <v/>
      </c>
      <c r="K124" s="7">
        <f>J124*(1-$C$154)</f>
        <v/>
      </c>
      <c r="L124" s="7">
        <f>K124*(1-$C$154)</f>
        <v/>
      </c>
    </row>
    <row r="125">
      <c r="A125" t="inlineStr">
        <is>
          <t>Other opex % revenue</t>
        </is>
      </c>
      <c r="C125" s="7">
        <f>C16/C4</f>
        <v/>
      </c>
      <c r="D125" s="7">
        <f>D16/D4</f>
        <v/>
      </c>
      <c r="E125" s="7">
        <f>E16/E4</f>
        <v/>
      </c>
      <c r="F125" s="7">
        <f>F16/F4</f>
        <v/>
      </c>
      <c r="G125" s="7">
        <f>G16/G4</f>
        <v/>
      </c>
      <c r="H125" s="7">
        <f>G125*(1-$C$154)</f>
        <v/>
      </c>
      <c r="I125" s="7">
        <f>H125*(1-$C$154)</f>
        <v/>
      </c>
      <c r="J125" s="7">
        <f>I125*(1-$C$154)</f>
        <v/>
      </c>
      <c r="K125" s="7">
        <f>J125*(1-$C$154)</f>
        <v/>
      </c>
      <c r="L125" s="7">
        <f>K125*(1-$C$154)</f>
        <v/>
      </c>
      <c r="M125" s="48" t="n"/>
    </row>
    <row r="126">
      <c r="A126" t="inlineStr">
        <is>
          <t>Other income</t>
        </is>
      </c>
      <c r="C126" s="7">
        <f>C23/C4</f>
        <v/>
      </c>
      <c r="D126" s="7">
        <f>D23/D4</f>
        <v/>
      </c>
      <c r="E126" s="7">
        <f>E23/E4</f>
        <v/>
      </c>
      <c r="F126" s="7">
        <f>F23/F4</f>
        <v/>
      </c>
      <c r="G126" s="7">
        <f>G23/G4</f>
        <v/>
      </c>
      <c r="H126" s="7">
        <f>H23/H4</f>
        <v/>
      </c>
      <c r="I126" s="7">
        <f>I23/I4</f>
        <v/>
      </c>
      <c r="J126" s="7">
        <f>J23/J4</f>
        <v/>
      </c>
      <c r="K126" s="7">
        <f>K23/K4</f>
        <v/>
      </c>
      <c r="L126" s="7">
        <f>L23/L4</f>
        <v/>
      </c>
    </row>
    <row r="127">
      <c r="A127" t="inlineStr">
        <is>
          <t>D &amp; A % of revenue</t>
        </is>
      </c>
      <c r="C127" s="7">
        <f>C80/C4</f>
        <v/>
      </c>
      <c r="D127" s="7">
        <f>D80/D4</f>
        <v/>
      </c>
      <c r="E127" s="7">
        <f>E80/E4</f>
        <v/>
      </c>
      <c r="F127" s="7">
        <f>F80/F4</f>
        <v/>
      </c>
      <c r="G127" s="7">
        <f>G80/G4</f>
        <v/>
      </c>
      <c r="H127" s="7">
        <f>H80/H4</f>
        <v/>
      </c>
      <c r="I127" s="7">
        <f>I80/I4</f>
        <v/>
      </c>
      <c r="J127" s="7">
        <f>J80/J4</f>
        <v/>
      </c>
      <c r="K127" s="7">
        <f>K80/K4</f>
        <v/>
      </c>
      <c r="L127" s="7">
        <f>L80/L4</f>
        <v/>
      </c>
    </row>
    <row r="128">
      <c r="A128" t="inlineStr">
        <is>
          <t>Capex % of revenue</t>
        </is>
      </c>
      <c r="C128" s="7">
        <f>C100/C4</f>
        <v/>
      </c>
      <c r="D128" s="7">
        <f>D100/D4</f>
        <v/>
      </c>
      <c r="E128" s="7">
        <f>E100/E4</f>
        <v/>
      </c>
      <c r="F128" s="7">
        <f>F100/F4</f>
        <v/>
      </c>
      <c r="G128" s="7">
        <f>G100/G4</f>
        <v/>
      </c>
      <c r="H128" s="7">
        <f>H100/H4</f>
        <v/>
      </c>
      <c r="I128" s="7">
        <f>I100/I4</f>
        <v/>
      </c>
      <c r="J128" s="7">
        <f>J100/J4</f>
        <v/>
      </c>
      <c r="K128" s="7">
        <f>K100/K4</f>
        <v/>
      </c>
      <c r="L128" s="7">
        <f>L100/L4</f>
        <v/>
      </c>
    </row>
    <row r="129">
      <c r="A129" t="inlineStr">
        <is>
          <t>AR days</t>
        </is>
      </c>
      <c r="C129" s="8">
        <f>C35/C4*365</f>
        <v/>
      </c>
      <c r="D129" s="8">
        <f>D35/D4*365</f>
        <v/>
      </c>
      <c r="E129" s="8">
        <f>E35/E4*365</f>
        <v/>
      </c>
      <c r="F129" s="8">
        <f>F35/F4*365</f>
        <v/>
      </c>
      <c r="G129" s="8">
        <f>G35/G4*365</f>
        <v/>
      </c>
      <c r="H129" s="8">
        <f>H35/H4*365</f>
        <v/>
      </c>
      <c r="I129" s="8">
        <f>I35/I4*365</f>
        <v/>
      </c>
      <c r="J129" s="8">
        <f>J35/J4*365</f>
        <v/>
      </c>
      <c r="K129" s="8">
        <f>K35/K4*365</f>
        <v/>
      </c>
      <c r="L129" s="8">
        <f>L35/L4*365</f>
        <v/>
      </c>
    </row>
    <row r="130">
      <c r="A130" t="inlineStr">
        <is>
          <t>AP days</t>
        </is>
      </c>
      <c r="C130" s="8">
        <f>C54/C6*365</f>
        <v/>
      </c>
      <c r="D130" s="8">
        <f>D54/D6*365</f>
        <v/>
      </c>
      <c r="E130" s="8">
        <f>E54/E6*365</f>
        <v/>
      </c>
      <c r="F130" s="8">
        <f>F54/F6*365</f>
        <v/>
      </c>
      <c r="G130" s="8">
        <f>G54/G6*365</f>
        <v/>
      </c>
      <c r="H130" s="8">
        <f>H54/H6*365</f>
        <v/>
      </c>
      <c r="I130" s="8">
        <f>I54/I6*365</f>
        <v/>
      </c>
      <c r="J130" s="8">
        <f>J54/J6*365</f>
        <v/>
      </c>
      <c r="K130" s="8">
        <f>K54/K6*365</f>
        <v/>
      </c>
      <c r="L130" s="8">
        <f>L54/L6*365</f>
        <v/>
      </c>
    </row>
    <row r="131">
      <c r="A131" t="inlineStr">
        <is>
          <t>Inventory days</t>
        </is>
      </c>
      <c r="C131">
        <f>C36/C6*365</f>
        <v/>
      </c>
      <c r="D131">
        <f>D36/D6*365</f>
        <v/>
      </c>
      <c r="E131">
        <f>E36/E6*365</f>
        <v/>
      </c>
      <c r="F131">
        <f>F36/F6*365</f>
        <v/>
      </c>
      <c r="G131">
        <f>G36/G6*365</f>
        <v/>
      </c>
      <c r="H131">
        <f>H36/H6*365</f>
        <v/>
      </c>
      <c r="I131">
        <f>I36/I6*365</f>
        <v/>
      </c>
      <c r="J131">
        <f>J36/J6*365</f>
        <v/>
      </c>
      <c r="K131">
        <f>K36/K6*365</f>
        <v/>
      </c>
      <c r="L131">
        <f>L36/L6*365</f>
        <v/>
      </c>
    </row>
    <row r="132">
      <c r="A132" t="inlineStr">
        <is>
          <t>Tax %</t>
        </is>
      </c>
      <c r="C132" s="7">
        <f>C26/C25</f>
        <v/>
      </c>
      <c r="D132" s="7">
        <f>D26/D25</f>
        <v/>
      </c>
      <c r="E132" s="7">
        <f>E26/E25</f>
        <v/>
      </c>
      <c r="F132" s="7">
        <f>F26/F25</f>
        <v/>
      </c>
      <c r="G132" s="7">
        <f>G26/G25</f>
        <v/>
      </c>
      <c r="H132" s="7">
        <f>H26/H25</f>
        <v/>
      </c>
      <c r="I132" s="7">
        <f>I26/I25</f>
        <v/>
      </c>
      <c r="J132" s="7">
        <f>J26/J25</f>
        <v/>
      </c>
      <c r="K132" s="7">
        <f>K26/K25</f>
        <v/>
      </c>
      <c r="L132" s="7">
        <f>L26/L25</f>
        <v/>
      </c>
    </row>
    <row r="133">
      <c r="A133" t="inlineStr">
        <is>
          <t>A/cs Receivable</t>
        </is>
      </c>
      <c r="C133" s="7">
        <f>C35/C4</f>
        <v/>
      </c>
      <c r="D133" s="7">
        <f>D35/D4</f>
        <v/>
      </c>
      <c r="E133" s="7">
        <f>E35/E4</f>
        <v/>
      </c>
      <c r="F133" s="7">
        <f>F35/F4</f>
        <v/>
      </c>
      <c r="G133" s="7">
        <f>G35/G4</f>
        <v/>
      </c>
    </row>
    <row r="134">
      <c r="A134" t="inlineStr">
        <is>
          <t>Prepaid expenses</t>
        </is>
      </c>
      <c r="C134" s="7">
        <f>C37/C4</f>
        <v/>
      </c>
      <c r="D134" s="7">
        <f>D37/D4</f>
        <v/>
      </c>
      <c r="E134" s="7">
        <f>E37/E4</f>
        <v/>
      </c>
      <c r="F134" s="7">
        <f>F37/F4</f>
        <v/>
      </c>
      <c r="G134" s="7">
        <f>G37/G4</f>
        <v/>
      </c>
    </row>
    <row r="135">
      <c r="A135" t="inlineStr">
        <is>
          <t>Other CA</t>
        </is>
      </c>
      <c r="C135" s="7">
        <f>C38/C4</f>
        <v/>
      </c>
      <c r="D135" s="7">
        <f>D38/D4</f>
        <v/>
      </c>
      <c r="E135" s="7">
        <f>E38/E4</f>
        <v/>
      </c>
      <c r="F135" s="7">
        <f>F38/F4</f>
        <v/>
      </c>
      <c r="G135" s="7">
        <f>G38/G4</f>
        <v/>
      </c>
    </row>
    <row r="136">
      <c r="A136" t="inlineStr">
        <is>
          <t>PPE, net</t>
        </is>
      </c>
      <c r="C136" s="7">
        <f>C43/C4</f>
        <v/>
      </c>
      <c r="D136" s="7">
        <f>D43/D4</f>
        <v/>
      </c>
      <c r="E136" s="7">
        <f>E43/E4</f>
        <v/>
      </c>
      <c r="F136" s="7">
        <f>F43/F4</f>
        <v/>
      </c>
      <c r="G136" s="7">
        <f>G43/G4</f>
        <v/>
      </c>
    </row>
    <row r="137">
      <c r="A137" t="inlineStr">
        <is>
          <t>Intangible assets</t>
        </is>
      </c>
      <c r="C137" s="7" t="n"/>
      <c r="D137" s="7">
        <f>(D45-C45)/C45</f>
        <v/>
      </c>
      <c r="E137" s="7">
        <f>(E45-D45)/D45</f>
        <v/>
      </c>
      <c r="F137" s="7">
        <f>(F45-E45)/E45</f>
        <v/>
      </c>
      <c r="G137" s="7">
        <f>(G45-F45)/F45</f>
        <v/>
      </c>
      <c r="H137" s="7" t="n"/>
      <c r="I137" s="7" t="n"/>
      <c r="J137" s="7" t="n"/>
      <c r="K137" s="7" t="n"/>
      <c r="L137" s="7" t="n"/>
    </row>
    <row r="138">
      <c r="A138" t="inlineStr">
        <is>
          <t>Other non current assets</t>
        </is>
      </c>
      <c r="C138" s="7">
        <f>C48/C4</f>
        <v/>
      </c>
      <c r="D138" s="7">
        <f>D48/D4</f>
        <v/>
      </c>
      <c r="E138" s="7">
        <f>E48/E4</f>
        <v/>
      </c>
      <c r="F138" s="7">
        <f>F48/F4</f>
        <v/>
      </c>
      <c r="G138" s="7">
        <f>G48/G4</f>
        <v/>
      </c>
    </row>
    <row r="139">
      <c r="A139" t="inlineStr">
        <is>
          <t>Deferred Tax asset</t>
        </is>
      </c>
      <c r="C139" s="7">
        <f>C49/C4</f>
        <v/>
      </c>
      <c r="D139" s="7">
        <f>D49/D4</f>
        <v/>
      </c>
      <c r="E139" s="7">
        <f>E49/E4</f>
        <v/>
      </c>
      <c r="F139" s="7">
        <f>F49/F4</f>
        <v/>
      </c>
      <c r="G139" s="7">
        <f>G49/G4</f>
        <v/>
      </c>
    </row>
    <row r="140">
      <c r="A140" t="inlineStr">
        <is>
          <t>Short term debt- current portion</t>
        </is>
      </c>
      <c r="C140" s="7">
        <f>C57/C4</f>
        <v/>
      </c>
      <c r="D140" s="7">
        <f>D57/D4</f>
        <v/>
      </c>
      <c r="E140" s="7">
        <f>E57/E4</f>
        <v/>
      </c>
      <c r="F140" s="7">
        <f>F57/F4</f>
        <v/>
      </c>
      <c r="G140" s="7">
        <f>G57/G4</f>
        <v/>
      </c>
    </row>
    <row r="141">
      <c r="A141" t="inlineStr">
        <is>
          <t>Long term debt</t>
        </is>
      </c>
      <c r="C141" s="7">
        <f>C60/C4</f>
        <v/>
      </c>
      <c r="D141" s="7">
        <f>D60/D4</f>
        <v/>
      </c>
      <c r="E141" s="7">
        <f>E60/E4</f>
        <v/>
      </c>
      <c r="F141" s="7">
        <f>F60/F4</f>
        <v/>
      </c>
      <c r="G141" s="7">
        <f>G60/G4</f>
        <v/>
      </c>
      <c r="H141" s="16">
        <f>G141</f>
        <v/>
      </c>
    </row>
    <row r="142">
      <c r="A142" t="inlineStr">
        <is>
          <t>lease liabilities</t>
        </is>
      </c>
      <c r="C142" s="7">
        <f>C61/C4</f>
        <v/>
      </c>
      <c r="D142" s="7">
        <f>D61/D4</f>
        <v/>
      </c>
      <c r="E142" s="7">
        <f>E61/E4</f>
        <v/>
      </c>
      <c r="F142" s="7">
        <f>F61/F4</f>
        <v/>
      </c>
      <c r="G142" s="7">
        <f>G61/G4</f>
        <v/>
      </c>
    </row>
    <row r="143">
      <c r="A143" t="inlineStr">
        <is>
          <t>Other non-current liabilities</t>
        </is>
      </c>
      <c r="C143" s="7" t="n"/>
      <c r="D143" s="7">
        <f>(D63-C63)/C63</f>
        <v/>
      </c>
      <c r="E143" s="7">
        <f>(E63-D63)/D63</f>
        <v/>
      </c>
      <c r="F143" s="7">
        <f>(F63-E63)/E63</f>
        <v/>
      </c>
      <c r="G143" s="7">
        <f>(G63-F63)/F63</f>
        <v/>
      </c>
    </row>
    <row r="144">
      <c r="A144" t="inlineStr">
        <is>
          <t>Retained earnings</t>
        </is>
      </c>
      <c r="C144" s="7">
        <f>C69/C4</f>
        <v/>
      </c>
      <c r="D144" s="7">
        <f>D69/D4</f>
        <v/>
      </c>
      <c r="E144" s="7">
        <f>E69/E4</f>
        <v/>
      </c>
      <c r="F144" s="7">
        <f>F69/F4</f>
        <v/>
      </c>
      <c r="G144" s="7">
        <f>G69/G4</f>
        <v/>
      </c>
    </row>
    <row r="145">
      <c r="A145" t="inlineStr">
        <is>
          <t>Accumulated other comprehensive income (loss)</t>
        </is>
      </c>
      <c r="C145" s="7">
        <f>C70/C4</f>
        <v/>
      </c>
      <c r="D145" s="7">
        <f>D70/D4</f>
        <v/>
      </c>
      <c r="E145" s="7">
        <f>E70/E4</f>
        <v/>
      </c>
      <c r="F145" s="7">
        <f>F70/F4</f>
        <v/>
      </c>
      <c r="G145" s="7">
        <f>G70/G4</f>
        <v/>
      </c>
    </row>
    <row r="146">
      <c r="A146" t="inlineStr">
        <is>
          <t>Treasury stock, at cost</t>
        </is>
      </c>
      <c r="C146" s="7">
        <f>C71/C4</f>
        <v/>
      </c>
      <c r="D146" s="7">
        <f>D71/D4</f>
        <v/>
      </c>
      <c r="E146" s="7">
        <f>E71/E4</f>
        <v/>
      </c>
      <c r="F146" s="7">
        <f>F71/F4</f>
        <v/>
      </c>
      <c r="G146" s="7">
        <f>G71/G4</f>
        <v/>
      </c>
    </row>
    <row r="147">
      <c r="A147" t="inlineStr">
        <is>
          <t>Amortization of costs capitalized to obtain revenue contracts, net</t>
        </is>
      </c>
      <c r="C147" s="7">
        <f>C81/C4</f>
        <v/>
      </c>
      <c r="D147" s="7">
        <f>D81/D4</f>
        <v/>
      </c>
      <c r="E147" s="7">
        <f>E81/E4</f>
        <v/>
      </c>
      <c r="F147" s="7">
        <f>F81/F4</f>
        <v/>
      </c>
      <c r="G147" s="7">
        <f>G81/G4</f>
        <v/>
      </c>
      <c r="H147" s="16">
        <f>G147</f>
        <v/>
      </c>
    </row>
    <row r="148">
      <c r="A148" t="inlineStr">
        <is>
          <t>Costs capitalized to obtain revenue contracts, net</t>
        </is>
      </c>
      <c r="C148" s="7">
        <f>C86/C4</f>
        <v/>
      </c>
      <c r="D148" s="7">
        <f>D86/D4</f>
        <v/>
      </c>
      <c r="E148" s="7">
        <f>E86/E4</f>
        <v/>
      </c>
      <c r="F148" s="7">
        <f>F86/F4</f>
        <v/>
      </c>
      <c r="G148" s="7">
        <f>G86/G4</f>
        <v/>
      </c>
      <c r="H148" s="16">
        <f>AVERAGE(C148:G148)</f>
        <v/>
      </c>
    </row>
    <row r="149">
      <c r="A149" t="inlineStr">
        <is>
          <t>Stock based compensation</t>
        </is>
      </c>
      <c r="C149" s="7">
        <f>C82/C4</f>
        <v/>
      </c>
      <c r="D149" s="7">
        <f>D82/D4</f>
        <v/>
      </c>
      <c r="E149" s="7">
        <f>E82/E4</f>
        <v/>
      </c>
      <c r="F149" s="7">
        <f>F82/F4</f>
        <v/>
      </c>
      <c r="G149" s="7">
        <f>G82/G4</f>
        <v/>
      </c>
      <c r="H149" s="16">
        <f>G149</f>
        <v/>
      </c>
    </row>
    <row r="150">
      <c r="A150" t="inlineStr">
        <is>
          <t>Noncurrent costs capitalized to obtain revenue contracts, net</t>
        </is>
      </c>
      <c r="C150" s="7">
        <f>C47/C4</f>
        <v/>
      </c>
      <c r="D150" s="7">
        <f>D47/D4</f>
        <v/>
      </c>
      <c r="E150" s="7">
        <f>E47/E4</f>
        <v/>
      </c>
      <c r="F150" s="7">
        <f>F47/F4</f>
        <v/>
      </c>
      <c r="G150" s="7">
        <f>G47/G4</f>
        <v/>
      </c>
      <c r="H150" s="16">
        <f>AVERAGE(C150:G150)</f>
        <v/>
      </c>
    </row>
    <row r="151">
      <c r="A151" t="inlineStr">
        <is>
          <t>Proceeds from employee stock option</t>
        </is>
      </c>
      <c r="C151" s="7">
        <f>C109/C4</f>
        <v/>
      </c>
      <c r="D151" s="7">
        <f>D109/D4</f>
        <v/>
      </c>
      <c r="E151" s="7">
        <f>E109/E4</f>
        <v/>
      </c>
      <c r="F151" s="7">
        <f>F109/F4</f>
        <v/>
      </c>
      <c r="G151" s="7">
        <f>G109/G4</f>
        <v/>
      </c>
      <c r="H151" s="16">
        <f>G151</f>
        <v/>
      </c>
    </row>
    <row r="152">
      <c r="A152" t="inlineStr">
        <is>
          <t>Other CL</t>
        </is>
      </c>
      <c r="C152" s="13">
        <f>C56/C4</f>
        <v/>
      </c>
      <c r="D152" s="13">
        <f>D56/D4</f>
        <v/>
      </c>
      <c r="E152" s="13">
        <f>E56/E4</f>
        <v/>
      </c>
      <c r="F152" s="13">
        <f>F56/F4</f>
        <v/>
      </c>
      <c r="G152" s="13">
        <f>G56/G4</f>
        <v/>
      </c>
      <c r="H152" s="15">
        <f>AVERAGE(C152:G152)</f>
        <v/>
      </c>
    </row>
    <row r="153">
      <c r="A153" t="inlineStr">
        <is>
          <t>Purchase of marketable securities</t>
        </is>
      </c>
      <c r="C153" s="7">
        <f>C97/C4</f>
        <v/>
      </c>
      <c r="D153" s="7">
        <f>D97/D4</f>
        <v/>
      </c>
      <c r="E153" s="7">
        <f>E97/E4</f>
        <v/>
      </c>
      <c r="F153" s="7">
        <f>F97/F4</f>
        <v/>
      </c>
      <c r="G153" s="7">
        <f>G97/G4</f>
        <v/>
      </c>
      <c r="H153" s="16">
        <f>AVERAGE(C153:G153)</f>
        <v/>
      </c>
    </row>
    <row r="154">
      <c r="A154" t="inlineStr">
        <is>
          <t>Annual improvement</t>
        </is>
      </c>
      <c r="C154" s="16" t="n">
        <v>0.005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selection activeCell="A48" sqref="A48"/>
    </sheetView>
  </sheetViews>
  <sheetFormatPr baseColWidth="10" defaultRowHeight="16"/>
  <cols>
    <col width="36.33203125" customWidth="1" min="1" max="1"/>
    <col width="12.5" bestFit="1" customWidth="1" min="2" max="2"/>
    <col width="20.6640625" bestFit="1" customWidth="1" min="3" max="3"/>
    <col width="20.33203125" bestFit="1" customWidth="1" min="4" max="6"/>
  </cols>
  <sheetData>
    <row r="1">
      <c r="A1" t="inlineStr">
        <is>
          <t>Scenarios</t>
        </is>
      </c>
    </row>
    <row r="2">
      <c r="A2" t="inlineStr">
        <is>
          <t>Base-1</t>
        </is>
      </c>
      <c r="B2" t="inlineStr">
        <is>
          <t>Historical Avg</t>
        </is>
      </c>
      <c r="D2" t="inlineStr">
        <is>
          <t>Annual Inflation assumption</t>
        </is>
      </c>
      <c r="E2" s="15" t="n">
        <v>0.02</v>
      </c>
    </row>
    <row r="3">
      <c r="A3" t="inlineStr">
        <is>
          <t>Bull-2</t>
        </is>
      </c>
      <c r="B3" s="15">
        <f>5%</f>
        <v/>
      </c>
    </row>
    <row r="4">
      <c r="A4" t="inlineStr">
        <is>
          <t>Bear-3</t>
        </is>
      </c>
      <c r="B4" s="15">
        <f>-5%</f>
        <v/>
      </c>
    </row>
    <row r="6">
      <c r="A6" t="inlineStr">
        <is>
          <t>Years</t>
        </is>
      </c>
      <c r="B6" t="n">
        <v>2027</v>
      </c>
      <c r="C6" t="n">
        <v>2028</v>
      </c>
      <c r="D6" t="n">
        <v>2029</v>
      </c>
      <c r="E6" t="n">
        <v>2030</v>
      </c>
      <c r="F6" t="n">
        <v>2031</v>
      </c>
    </row>
    <row r="7">
      <c r="A7" t="inlineStr">
        <is>
          <t>Timing as on</t>
        </is>
      </c>
      <c r="B7" t="inlineStr">
        <is>
          <t>January 31, 27</t>
        </is>
      </c>
      <c r="C7" t="inlineStr">
        <is>
          <t>January 31, 28</t>
        </is>
      </c>
      <c r="D7" t="inlineStr">
        <is>
          <t>January 31, 29</t>
        </is>
      </c>
      <c r="E7" t="inlineStr">
        <is>
          <t>January 31, 30</t>
        </is>
      </c>
      <c r="F7" t="inlineStr">
        <is>
          <t>January 31, 31</t>
        </is>
      </c>
    </row>
    <row r="8">
      <c r="A8" t="inlineStr">
        <is>
          <t>Scenario Selector</t>
        </is>
      </c>
      <c r="B8" s="20" t="n">
        <v>1</v>
      </c>
    </row>
    <row r="9">
      <c r="A9" t="inlineStr">
        <is>
          <t>Revenue Growth- 1:Base</t>
        </is>
      </c>
      <c r="B9" s="7">
        <f>Forecasting!G120*(1+Assumptions!B3)</f>
        <v/>
      </c>
      <c r="C9" s="7">
        <f>B9*(1+$B$4)</f>
        <v/>
      </c>
      <c r="D9" s="7">
        <f>C9*(1+$B$4)</f>
        <v/>
      </c>
      <c r="E9" s="7">
        <f>D9*(1+$B$4)</f>
        <v/>
      </c>
      <c r="F9" s="7">
        <f>E9*(1+$B$4)</f>
        <v/>
      </c>
    </row>
    <row r="10">
      <c r="A10" t="inlineStr">
        <is>
          <t>Revenue Growth- 2:Bull</t>
        </is>
      </c>
      <c r="B10" s="7">
        <f>B9*(1+$B3)</f>
        <v/>
      </c>
      <c r="C10" s="7">
        <f>C9*(1+$B3)</f>
        <v/>
      </c>
      <c r="D10" s="7">
        <f>D9*(1+$B3)</f>
        <v/>
      </c>
      <c r="E10" s="7">
        <f>E9*(1+$B3)</f>
        <v/>
      </c>
      <c r="F10" s="7">
        <f>F9*(1+$B3)</f>
        <v/>
      </c>
    </row>
    <row r="11">
      <c r="A11" t="inlineStr">
        <is>
          <t>Revenue Growth- 3:Bear</t>
        </is>
      </c>
      <c r="B11" s="7">
        <f>B9*(1+$B$4)</f>
        <v/>
      </c>
      <c r="C11" s="7">
        <f>C9*(1+$B$4)</f>
        <v/>
      </c>
      <c r="D11" s="7">
        <f>D9*(1+$B$4)</f>
        <v/>
      </c>
      <c r="E11" s="7">
        <f>E9*(1+$B$4)</f>
        <v/>
      </c>
      <c r="F11" s="7">
        <f>F9*(1+$B$4)</f>
        <v/>
      </c>
    </row>
    <row r="12">
      <c r="A12" t="inlineStr">
        <is>
          <t>Active Growth%</t>
        </is>
      </c>
      <c r="B12" s="7">
        <f>CHOOSE($B$8, B9, B10, B11)</f>
        <v/>
      </c>
      <c r="C12" s="7">
        <f>CHOOSE($B$8, C9, C10, C11)</f>
        <v/>
      </c>
      <c r="D12" s="7">
        <f>CHOOSE($B$8, D9, D10, D11)</f>
        <v/>
      </c>
      <c r="E12" s="7">
        <f>CHOOSE($B$8, E9, E10, E11)</f>
        <v/>
      </c>
      <c r="F12" s="7">
        <f>CHOOSE($B$8, F9, F10, F11)</f>
        <v/>
      </c>
    </row>
    <row r="13">
      <c r="A13" t="inlineStr">
        <is>
          <t>COGS % of revenue- Base</t>
        </is>
      </c>
      <c r="B13" s="7">
        <f>Forecasting!H121</f>
        <v/>
      </c>
      <c r="C13" s="7">
        <f>Forecasting!I121</f>
        <v/>
      </c>
      <c r="D13" s="7">
        <f>Forecasting!J121</f>
        <v/>
      </c>
      <c r="E13" s="7">
        <f>Forecasting!K121</f>
        <v/>
      </c>
      <c r="F13" s="7">
        <f>Forecasting!L121</f>
        <v/>
      </c>
    </row>
    <row r="14">
      <c r="A14" t="inlineStr">
        <is>
          <t>Active COGS % of revenue</t>
        </is>
      </c>
      <c r="B14" s="7">
        <f>CHOOSE($B$8,B13,B13*(1-$B$3),B13*(1-$B$4))</f>
        <v/>
      </c>
      <c r="C14" s="7">
        <f>CHOOSE($B$8,C13,C13*(1-$B$3),C13*(1-$B$4))</f>
        <v/>
      </c>
      <c r="D14" s="7">
        <f>CHOOSE($B$8,D13,D13*(1-$B$3),D13*(1-$B$4))</f>
        <v/>
      </c>
      <c r="E14" s="7">
        <f>CHOOSE($B$8,E13,E13*(1-$B$3),E13*(1-$B$4))</f>
        <v/>
      </c>
      <c r="F14" s="7">
        <f>CHOOSE($B$8,F13,F13*(1-$B$3),F13*(1-$B$4))</f>
        <v/>
      </c>
    </row>
    <row r="15">
      <c r="A15" t="inlineStr">
        <is>
          <t>R&amp;D % of revenue- Base</t>
        </is>
      </c>
      <c r="B15" s="7">
        <f>Forecasting!H122</f>
        <v/>
      </c>
      <c r="C15" s="7">
        <f>Forecasting!I122</f>
        <v/>
      </c>
      <c r="D15" s="7">
        <f>Forecasting!J122</f>
        <v/>
      </c>
      <c r="E15" s="7">
        <f>Forecasting!K122</f>
        <v/>
      </c>
      <c r="F15" s="7">
        <f>Forecasting!L122</f>
        <v/>
      </c>
    </row>
    <row r="16">
      <c r="A16" t="inlineStr">
        <is>
          <t>Active R&amp;D % of revenue</t>
        </is>
      </c>
      <c r="B16" s="7">
        <f>CHOOSE($B$8,B15,B15*(1-$B$3),B15*(1-$B$4))</f>
        <v/>
      </c>
      <c r="C16" s="7">
        <f>CHOOSE($B$8,C15,C15*(1-$B$3),C15*(1-$B$4))</f>
        <v/>
      </c>
      <c r="D16" s="7">
        <f>CHOOSE($B$8,D15,D15*(1-$B$3),D15*(1-$B$4))</f>
        <v/>
      </c>
      <c r="E16" s="7">
        <f>CHOOSE($B$8,E15,E15*(1-$B$3),E15*(1-$B$4))</f>
        <v/>
      </c>
      <c r="F16" s="7">
        <f>CHOOSE($B$8,F15,F15*(1-$B$3),F15*(1-$B$4))</f>
        <v/>
      </c>
    </row>
    <row r="17">
      <c r="A17" t="inlineStr">
        <is>
          <t>Sales &amp; marketing % of revenue- Base</t>
        </is>
      </c>
      <c r="B17" s="7">
        <f>Forecasting!H123</f>
        <v/>
      </c>
      <c r="C17" s="7">
        <f>Forecasting!I123</f>
        <v/>
      </c>
      <c r="D17" s="7">
        <f>Forecasting!J123</f>
        <v/>
      </c>
      <c r="E17" s="7">
        <f>Forecasting!K123</f>
        <v/>
      </c>
      <c r="F17" s="7">
        <f>Forecasting!L123</f>
        <v/>
      </c>
    </row>
    <row r="18">
      <c r="A18" t="inlineStr">
        <is>
          <t>Active Sales &amp; marketing % of revenue</t>
        </is>
      </c>
      <c r="B18" s="7">
        <f>CHOOSE($B$8,B17,B17*(1-$B$3),B17*(1-$B$4))</f>
        <v/>
      </c>
      <c r="C18" s="7">
        <f>CHOOSE($B$8,C17,C17*(1-$B$3),C17*(1-$B$4))</f>
        <v/>
      </c>
      <c r="D18" s="7">
        <f>CHOOSE($B$8,D17,D17*(1-$B$3),D17*(1-$B$4))</f>
        <v/>
      </c>
      <c r="E18" s="7">
        <f>CHOOSE($B$8,E17,E17*(1-$B$3),E17*(1-$B$4))</f>
        <v/>
      </c>
      <c r="F18" s="7">
        <f>CHOOSE($B$8,F17,F17*(1-$B$3),F17*(1-$B$4))</f>
        <v/>
      </c>
    </row>
    <row r="19">
      <c r="A19" t="inlineStr">
        <is>
          <t>G&amp;A % of revenue- Base</t>
        </is>
      </c>
      <c r="B19" s="7">
        <f>Forecasting!H124</f>
        <v/>
      </c>
      <c r="C19" s="7">
        <f>Forecasting!I124</f>
        <v/>
      </c>
      <c r="D19" s="7">
        <f>Forecasting!J124</f>
        <v/>
      </c>
      <c r="E19" s="7">
        <f>Forecasting!K124</f>
        <v/>
      </c>
      <c r="F19" s="7">
        <f>Forecasting!L124</f>
        <v/>
      </c>
    </row>
    <row r="20">
      <c r="A20" t="inlineStr">
        <is>
          <t>Active G&amp;A % of revenue</t>
        </is>
      </c>
      <c r="B20" s="7">
        <f>CHOOSE($B$8,B19,B19*(1-$B$3),B19*(1-$B$4))</f>
        <v/>
      </c>
      <c r="C20" s="7">
        <f>CHOOSE($B$8,C19,C19*(1-$B$3),C19*(1-$B$4))</f>
        <v/>
      </c>
      <c r="D20" s="7">
        <f>CHOOSE($B$8,D19,D19*(1-$B$3),D19*(1-$B$4))</f>
        <v/>
      </c>
      <c r="E20" s="7">
        <f>CHOOSE($B$8,E19,E19*(1-$B$3),E19*(1-$B$4))</f>
        <v/>
      </c>
      <c r="F20" s="7">
        <f>CHOOSE($B$8,F19,F19*(1-$B$3),F19*(1-$B$4))</f>
        <v/>
      </c>
    </row>
    <row r="21">
      <c r="A21" t="inlineStr">
        <is>
          <t>Other opex % revenue- Base</t>
        </is>
      </c>
      <c r="B21" s="7">
        <f>Forecasting!H125</f>
        <v/>
      </c>
      <c r="C21" s="7">
        <f>Forecasting!I125</f>
        <v/>
      </c>
      <c r="D21" s="7">
        <f>Forecasting!J125</f>
        <v/>
      </c>
      <c r="E21" s="7">
        <f>Forecasting!K125</f>
        <v/>
      </c>
      <c r="F21" s="7">
        <f>Forecasting!L125</f>
        <v/>
      </c>
    </row>
    <row r="22">
      <c r="A22" t="inlineStr">
        <is>
          <t>Active Other opex % revenue</t>
        </is>
      </c>
      <c r="B22" s="7">
        <f>CHOOSE($B$8,B21,B21*(1-$B$3),B21*(1-$B$4))</f>
        <v/>
      </c>
      <c r="C22" s="7">
        <f>CHOOSE($B$8,C21,C21*(1-$B$3),C21*(1-$B$4))</f>
        <v/>
      </c>
      <c r="D22" s="7">
        <f>CHOOSE($B$8,D21,D21*(1-$B$3),D21*(1-$B$4))</f>
        <v/>
      </c>
      <c r="E22" s="7">
        <f>CHOOSE($B$8,E21,E21*(1-$B$3),E21*(1-$B$4))</f>
        <v/>
      </c>
      <c r="F22" s="7">
        <f>CHOOSE($B$8,F21,F21*(1-$B$3),F21*(1-$B$4))</f>
        <v/>
      </c>
    </row>
    <row r="23">
      <c r="A23" t="inlineStr">
        <is>
          <t>Other Income - Base</t>
        </is>
      </c>
      <c r="B23" s="14">
        <f>Forecasting!G126</f>
        <v/>
      </c>
      <c r="C23" s="14">
        <f>B23</f>
        <v/>
      </c>
      <c r="D23" s="14">
        <f>C23</f>
        <v/>
      </c>
      <c r="E23" s="14">
        <f>D23</f>
        <v/>
      </c>
      <c r="F23" s="14">
        <f>E23</f>
        <v/>
      </c>
    </row>
    <row r="24">
      <c r="A24" t="inlineStr">
        <is>
          <t>Other Income - Active</t>
        </is>
      </c>
      <c r="B24" s="7">
        <f>CHOOSE($B$8,B23,B23*(1+$B$3),B23*(1+$B$4))</f>
        <v/>
      </c>
      <c r="C24" s="7">
        <f>CHOOSE($B$8,C23,C23*(1+$B$3),C23*(1+$B$4))</f>
        <v/>
      </c>
      <c r="D24" s="7">
        <f>CHOOSE($B$8,D23,D23*(1+$B$3),D23*(1+$B$4))</f>
        <v/>
      </c>
      <c r="E24" s="7">
        <f>CHOOSE($B$8,E23,E23*(1+$B$3),E23*(1+$B$4))</f>
        <v/>
      </c>
      <c r="F24" s="7">
        <f>CHOOSE($B$8,F23,F23*(1+$B$3),F23*(1+$B$4))</f>
        <v/>
      </c>
    </row>
    <row r="25">
      <c r="A25" t="inlineStr">
        <is>
          <t>D &amp; A % of revenue-Base</t>
        </is>
      </c>
      <c r="B25" s="7">
        <f>Forecasting!G127</f>
        <v/>
      </c>
      <c r="C25" s="7">
        <f>B25</f>
        <v/>
      </c>
      <c r="D25" s="7">
        <f>C25</f>
        <v/>
      </c>
      <c r="E25" s="7">
        <f>D25</f>
        <v/>
      </c>
      <c r="F25" s="7">
        <f>E25</f>
        <v/>
      </c>
    </row>
    <row r="26">
      <c r="A26" t="inlineStr">
        <is>
          <t>Active D &amp; A % of revenue</t>
        </is>
      </c>
      <c r="B26" s="7">
        <f>CHOOSE($B$8,B25,B25*(1-$B$3),B25*(1-$B$4))</f>
        <v/>
      </c>
      <c r="C26" s="7">
        <f>CHOOSE($B$8,C25,C25*(1-$B$3),C25*(1-$B$4))</f>
        <v/>
      </c>
      <c r="D26" s="7">
        <f>CHOOSE($B$8,D25,D25*(1-$B$3),D25*(1-$B$4))</f>
        <v/>
      </c>
      <c r="E26" s="7">
        <f>CHOOSE($B$8,E25,E25*(1-$B$3),E25*(1-$B$4))</f>
        <v/>
      </c>
      <c r="F26" s="7">
        <f>CHOOSE($B$8,F25,F25*(1-$B$3),F25*(1-$B$4))</f>
        <v/>
      </c>
    </row>
    <row r="27">
      <c r="A27" t="inlineStr">
        <is>
          <t>Capex % of revenue-Base</t>
        </is>
      </c>
      <c r="B27" s="7">
        <f>Forecasting!G128</f>
        <v/>
      </c>
      <c r="C27" s="7">
        <f>B27</f>
        <v/>
      </c>
      <c r="D27" s="7">
        <f>C27</f>
        <v/>
      </c>
      <c r="E27" s="7">
        <f>D27</f>
        <v/>
      </c>
      <c r="F27" s="7">
        <f>E27</f>
        <v/>
      </c>
    </row>
    <row r="28">
      <c r="A28" t="inlineStr">
        <is>
          <t>Active Capex % of revenue</t>
        </is>
      </c>
      <c r="B28" s="7">
        <f>CHOOSE($B$8,B27,B27*(1-$B$3),B27*(1-$B$4))</f>
        <v/>
      </c>
      <c r="C28" s="7">
        <f>CHOOSE($B$8,C27,C27*(1-$B$3),C27*(1-$B$4))</f>
        <v/>
      </c>
      <c r="D28" s="7">
        <f>CHOOSE($B$8,D27,D27*(1-$B$3),D27*(1-$B$4))</f>
        <v/>
      </c>
      <c r="E28" s="7">
        <f>CHOOSE($B$8,E27,E27*(1-$B$3),E27*(1-$B$4))</f>
        <v/>
      </c>
      <c r="F28" s="7">
        <f>CHOOSE($B$8,F27,F27*(1-$B$3),F27*(1-$B$4))</f>
        <v/>
      </c>
    </row>
    <row r="29">
      <c r="A29" t="inlineStr">
        <is>
          <t>AR days- Base</t>
        </is>
      </c>
      <c r="B29" s="12">
        <f>AVERAGE(Forecasting!C129:G129)</f>
        <v/>
      </c>
      <c r="C29" s="12">
        <f>B29</f>
        <v/>
      </c>
      <c r="D29" s="12">
        <f>C29</f>
        <v/>
      </c>
      <c r="E29" s="12">
        <f>D29</f>
        <v/>
      </c>
      <c r="F29" s="12">
        <f>E29</f>
        <v/>
      </c>
    </row>
    <row r="30">
      <c r="A30" t="inlineStr">
        <is>
          <t>Active AR days</t>
        </is>
      </c>
      <c r="B30" s="12">
        <f>CHOOSE($B$8,B29,B29*(1-$B$3),B29*(1-$B$4))</f>
        <v/>
      </c>
      <c r="C30" s="12">
        <f>CHOOSE($B$8,C29,C29*(1-$B$3),C29*(1-$B$4))</f>
        <v/>
      </c>
      <c r="D30" s="12">
        <f>CHOOSE($B$8,D29,D29*(1-$B$3),D29*(1-$B$4))</f>
        <v/>
      </c>
      <c r="E30" s="12">
        <f>CHOOSE($B$8,E29,E29*(1-$B$3),E29*(1-$B$4))</f>
        <v/>
      </c>
      <c r="F30" s="12">
        <f>CHOOSE($B$8,F29,F29*(1-$B$3),F29*(1-$B$4))</f>
        <v/>
      </c>
    </row>
    <row r="31">
      <c r="A31" t="inlineStr">
        <is>
          <t>AP days- Base</t>
        </is>
      </c>
      <c r="B31" s="12">
        <f>AVERAGE(Forecasting!C130:G130)</f>
        <v/>
      </c>
      <c r="C31" s="12">
        <f>B31</f>
        <v/>
      </c>
      <c r="D31" s="12">
        <f>C31</f>
        <v/>
      </c>
      <c r="E31" s="12">
        <f>D31</f>
        <v/>
      </c>
      <c r="F31" s="12">
        <f>E31</f>
        <v/>
      </c>
    </row>
    <row r="32">
      <c r="A32" t="inlineStr">
        <is>
          <t>Active AP days</t>
        </is>
      </c>
      <c r="B32" s="12">
        <f>CHOOSE($B$8,B31,B31*(1+$B$3),B31*(1+$B$4))</f>
        <v/>
      </c>
      <c r="C32" s="12">
        <f>CHOOSE($B$8,C31,C31*(1+$B$3),C31*(1+$B$4))</f>
        <v/>
      </c>
      <c r="D32" s="12">
        <f>CHOOSE($B$8,D31,D31*(1+$B$3),D31*(1+$B$4))</f>
        <v/>
      </c>
      <c r="E32" s="12">
        <f>CHOOSE($B$8,E31,E31*(1+$B$3),E31*(1+$B$4))</f>
        <v/>
      </c>
      <c r="F32" s="12">
        <f>CHOOSE($B$8,F31,F31*(1+$B$3),F31*(1+$B$4))</f>
        <v/>
      </c>
    </row>
    <row r="33">
      <c r="A33" t="inlineStr">
        <is>
          <t>Active Tax rate%</t>
        </is>
      </c>
      <c r="B33" s="7">
        <f>Forecasting!G132</f>
        <v/>
      </c>
      <c r="C33" s="7">
        <f>B33</f>
        <v/>
      </c>
      <c r="D33" s="7">
        <f>C33</f>
        <v/>
      </c>
      <c r="E33" s="7">
        <f>D33</f>
        <v/>
      </c>
      <c r="F33" s="7">
        <f>E33</f>
        <v/>
      </c>
    </row>
    <row r="34">
      <c r="A34" t="inlineStr">
        <is>
          <t>Prepaid expenses- Base</t>
        </is>
      </c>
      <c r="B34" s="16">
        <f>AVERAGE(Forecasting!C134:G134)</f>
        <v/>
      </c>
      <c r="C34" s="7">
        <f>B34*(1+0.02)</f>
        <v/>
      </c>
      <c r="D34" s="7">
        <f>C34*(1+0.02)</f>
        <v/>
      </c>
      <c r="E34" s="7">
        <f>D34*(1+0.02)</f>
        <v/>
      </c>
      <c r="F34" s="7">
        <f>E34*(1+0.02)</f>
        <v/>
      </c>
    </row>
    <row r="35">
      <c r="A35" t="inlineStr">
        <is>
          <t>Active Prepaid expenses</t>
        </is>
      </c>
      <c r="B35" s="7">
        <f>CHOOSE($B$8,B34,B34*(1-$B$3),B34*(1-$B$4))</f>
        <v/>
      </c>
      <c r="C35" s="7">
        <f>CHOOSE($B$8,C34,C34*(1-$B$3),C34*(1-$B$4))</f>
        <v/>
      </c>
      <c r="D35" s="7">
        <f>CHOOSE($B$8,D34,D34*(1-$B$3),D34*(1-$B$4))</f>
        <v/>
      </c>
      <c r="E35" s="7">
        <f>CHOOSE($B$8,E34,E34*(1-$B$3),E34*(1-$B$4))</f>
        <v/>
      </c>
      <c r="F35" s="7">
        <f>CHOOSE($B$8,F34,F34*(1-$B$3),F34*(1-$B$4))</f>
        <v/>
      </c>
    </row>
    <row r="36">
      <c r="A36" t="inlineStr">
        <is>
          <t>Other CA</t>
        </is>
      </c>
      <c r="B36" s="16">
        <f>AVERAGE(Forecasting!C135:G135)</f>
        <v/>
      </c>
      <c r="C36" s="16">
        <f>B36*(1+$E$2)</f>
        <v/>
      </c>
      <c r="D36" s="16">
        <f>C36*(1+$E$2)</f>
        <v/>
      </c>
      <c r="E36" s="16">
        <f>D36*(1+$E$2)</f>
        <v/>
      </c>
      <c r="F36" s="16">
        <f>E36*(1+$E$2)</f>
        <v/>
      </c>
    </row>
    <row r="37">
      <c r="A37" t="inlineStr">
        <is>
          <t>Active Other CA</t>
        </is>
      </c>
      <c r="B37" s="7">
        <f>CHOOSE($B$8,B36,B36*(1-$B$3),B36*(1-$B$4))</f>
        <v/>
      </c>
      <c r="C37" s="7">
        <f>CHOOSE($B$8,C36,C36*(1-$B$3),C36*(1-$B$4))</f>
        <v/>
      </c>
      <c r="D37" s="7">
        <f>CHOOSE($B$8,D36,D36*(1-$B$3),D36*(1-$B$4))</f>
        <v/>
      </c>
      <c r="E37" s="7">
        <f>CHOOSE($B$8,E36,E36*(1-$B$3),E36*(1-$B$4))</f>
        <v/>
      </c>
      <c r="F37" s="7">
        <f>CHOOSE($B$8,F36,F36*(1-$B$3),F36*(1-$B$4))</f>
        <v/>
      </c>
    </row>
    <row r="38">
      <c r="A38" t="inlineStr">
        <is>
          <t>Active Net PPE</t>
        </is>
      </c>
      <c r="B38" s="7">
        <f>AVERAGE(Forecasting!C136:G136)</f>
        <v/>
      </c>
      <c r="C38" s="7">
        <f>B38</f>
        <v/>
      </c>
      <c r="D38" s="7">
        <f>C38</f>
        <v/>
      </c>
      <c r="E38" s="7">
        <f>D38</f>
        <v/>
      </c>
      <c r="F38" s="7">
        <f>E38</f>
        <v/>
      </c>
    </row>
    <row r="39">
      <c r="A39" t="inlineStr">
        <is>
          <t>Active intangible Assets</t>
        </is>
      </c>
      <c r="B39" s="7">
        <f>AVERAGE(Forecasting!D137:G137)</f>
        <v/>
      </c>
      <c r="C39" s="7">
        <f>B39</f>
        <v/>
      </c>
      <c r="D39" s="7">
        <f>C39</f>
        <v/>
      </c>
      <c r="E39" s="7">
        <f>D39</f>
        <v/>
      </c>
      <c r="F39" s="7">
        <f>E39</f>
        <v/>
      </c>
    </row>
    <row r="40">
      <c r="A40" t="inlineStr">
        <is>
          <t>Active non-curretn assets</t>
        </is>
      </c>
      <c r="B40" s="7">
        <f>AVERAGE(Forecasting!C138:G138)</f>
        <v/>
      </c>
      <c r="C40" s="7">
        <f>B40</f>
        <v/>
      </c>
      <c r="D40" s="7">
        <f>C40</f>
        <v/>
      </c>
      <c r="E40" s="7">
        <f>D40</f>
        <v/>
      </c>
      <c r="F40" s="7">
        <f>E40</f>
        <v/>
      </c>
    </row>
    <row r="41">
      <c r="A41" t="inlineStr">
        <is>
          <t>Active Deferred Tax asset</t>
        </is>
      </c>
      <c r="B41" s="7">
        <f>AVERAGE(Forecasting!C139:G139)</f>
        <v/>
      </c>
      <c r="C41" s="7">
        <f>B41</f>
        <v/>
      </c>
      <c r="D41" s="7">
        <f>C41</f>
        <v/>
      </c>
      <c r="E41" s="7">
        <f>D41</f>
        <v/>
      </c>
      <c r="F41" s="7">
        <f>E41</f>
        <v/>
      </c>
    </row>
    <row r="42">
      <c r="A42" t="inlineStr">
        <is>
          <t>Active lease liability</t>
        </is>
      </c>
      <c r="B42" s="7">
        <f>Forecasting!G142-0.05%</f>
        <v/>
      </c>
      <c r="C42" s="7">
        <f>B42</f>
        <v/>
      </c>
      <c r="D42" s="7">
        <f>C42</f>
        <v/>
      </c>
      <c r="E42" s="7">
        <f>D42</f>
        <v/>
      </c>
      <c r="F42" s="7">
        <f>E42</f>
        <v/>
      </c>
    </row>
    <row r="43">
      <c r="A43" t="inlineStr">
        <is>
          <t>Active Other non-current liabilities</t>
        </is>
      </c>
      <c r="B43" s="7">
        <f>AVERAGE(Forecasting!C143:G143)</f>
        <v/>
      </c>
      <c r="C43" s="7">
        <f>B43</f>
        <v/>
      </c>
      <c r="D43" s="7">
        <f>C43</f>
        <v/>
      </c>
      <c r="E43" s="7">
        <f>D43</f>
        <v/>
      </c>
      <c r="F43" s="7">
        <f>E43</f>
        <v/>
      </c>
    </row>
    <row r="44">
      <c r="A44" t="inlineStr">
        <is>
          <t>Active Accumulated other comprehensive income (loss)</t>
        </is>
      </c>
      <c r="B44" s="7">
        <f>AVERAGE(Forecasting!C145:G145)</f>
        <v/>
      </c>
      <c r="C44" s="7">
        <f>B44</f>
        <v/>
      </c>
      <c r="D44" s="7">
        <f>C44</f>
        <v/>
      </c>
      <c r="E44" s="7">
        <f>D44</f>
        <v/>
      </c>
      <c r="F44" s="7">
        <f>E44</f>
        <v/>
      </c>
    </row>
    <row r="45">
      <c r="A45" t="inlineStr">
        <is>
          <t>Active Treasury stock, at cost</t>
        </is>
      </c>
      <c r="B45" s="7">
        <f>AVERAGE(Forecasting!C146:G146)</f>
        <v/>
      </c>
      <c r="C45" s="7">
        <f>AVERAGE(Forecasting!D146:H146)</f>
        <v/>
      </c>
      <c r="D45" s="7">
        <f>AVERAGE(Forecasting!E146:I146)</f>
        <v/>
      </c>
      <c r="E45" s="7">
        <f>AVERAGE(Forecasting!F146:J146)</f>
        <v/>
      </c>
      <c r="F45" s="7">
        <f>AVERAGE(Forecasting!G146:K146)</f>
        <v/>
      </c>
    </row>
    <row r="46">
      <c r="B46" s="16" t="n"/>
      <c r="C46" s="16" t="n"/>
      <c r="D46" s="16" t="n"/>
      <c r="E46" s="16" t="n"/>
      <c r="F46" s="16" t="n"/>
    </row>
    <row r="47">
      <c r="A47" t="inlineStr">
        <is>
          <t>Strategic investments held at cost, no activity assumed. As historical gains/losses are non-operating, unpredictable mark-to-market swings on strategic investments (e.g. +$1,017M FY26, -$121M FY25). Held flat at zero as a conservative, non-speculative assumption.</t>
        </is>
      </c>
    </row>
  </sheetData>
  <mergeCells count="1">
    <mergeCell ref="B8:F8"/>
  </mergeCells>
  <dataValidations count="1">
    <dataValidation sqref="B8" showDropDown="0" showInputMessage="1" showErrorMessage="1" allowBlank="1" type="list">
      <formula1>"1,2,3"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Priya Rastogi</dc:creator>
  <dcterms:created xmlns:dcterms="http://purl.org/dc/terms/" xmlns:xsi="http://www.w3.org/2001/XMLSchema-instance" xsi:type="dcterms:W3CDTF">2026-03-24T21:19:01Z</dcterms:created>
  <dcterms:modified xmlns:dcterms="http://purl.org/dc/terms/" xmlns:xsi="http://www.w3.org/2001/XMLSchema-instance" xsi:type="dcterms:W3CDTF">2026-07-04T06:54:42Z</dcterms:modified>
  <cp:lastModifiedBy>Priya Rastogi</cp:lastModifiedBy>
</cp:coreProperties>
</file>